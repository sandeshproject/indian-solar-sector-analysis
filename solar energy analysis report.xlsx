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95B1D0088339F0F/Documents/"/>
    </mc:Choice>
  </mc:AlternateContent>
  <xr:revisionPtr revIDLastSave="0" documentId="14_{C35D4C9D-BF49-4BDE-8978-D81861D09A36}" xr6:coauthVersionLast="47" xr6:coauthVersionMax="47" xr10:uidLastSave="{00000000-0000-0000-0000-000000000000}"/>
  <bookViews>
    <workbookView xWindow="5760" yWindow="3720" windowWidth="17280" windowHeight="9960" firstSheet="5" activeTab="9" xr2:uid="{55629A61-74A0-4240-A12D-E41237D7F0B7}"/>
  </bookViews>
  <sheets>
    <sheet name="Overview" sheetId="1" r:id="rId1"/>
    <sheet name="Capacity" sheetId="2" r:id="rId2"/>
    <sheet name="Demand Analysis" sheetId="3" r:id="rId3"/>
    <sheet name="Supply vs Demand" sheetId="4" r:id="rId4"/>
    <sheet name="China vs domestic " sheetId="5" r:id="rId5"/>
    <sheet name="Govt schemes " sheetId="6" r:id="rId6"/>
    <sheet name="AlMM List" sheetId="7" r:id="rId7"/>
    <sheet name="Big players -Module capacity" sheetId="8" r:id="rId8"/>
    <sheet name="Big player -cell production" sheetId="9" r:id="rId9"/>
    <sheet name="global big player "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2" l="1"/>
  <c r="H32" i="2"/>
  <c r="G32" i="2"/>
  <c r="F32" i="2"/>
  <c r="E32" i="2"/>
  <c r="D32" i="2"/>
  <c r="C32" i="2"/>
</calcChain>
</file>

<file path=xl/sharedStrings.xml><?xml version="1.0" encoding="utf-8"?>
<sst xmlns="http://schemas.openxmlformats.org/spreadsheetml/2006/main" count="746" uniqueCount="665">
  <si>
    <t>India Installed  Capacity FY2026 (Cumulative)</t>
  </si>
  <si>
    <t xml:space="preserve">Source:-ministry of new and renewable energy </t>
  </si>
  <si>
    <t>154.24 GW</t>
  </si>
  <si>
    <t xml:space="preserve">2030 Target (Solar) </t>
  </si>
  <si>
    <t xml:space="preserve">mfg.capacity (ALMM listed) </t>
  </si>
  <si>
    <t>Indian Solar Energy Sector - Analysis Report</t>
  </si>
  <si>
    <t xml:space="preserve"> Annual Add (2025)</t>
  </si>
  <si>
    <t>293 GW</t>
  </si>
  <si>
    <t>source:-central electricity authority</t>
  </si>
  <si>
    <t>India Global Rank (solar power capacity)</t>
  </si>
  <si>
    <t xml:space="preserve">45 GW </t>
  </si>
  <si>
    <t>source:- mr.pralhad joshi (Union minister)</t>
  </si>
  <si>
    <t>40 GW</t>
  </si>
  <si>
    <r>
      <t>3</t>
    </r>
    <r>
      <rPr>
        <b/>
        <i/>
        <vertAlign val="superscript"/>
        <sz val="11"/>
        <color theme="0"/>
        <rFont val="calibri"/>
        <family val="2"/>
      </rPr>
      <t>rd</t>
    </r>
    <r>
      <rPr>
        <b/>
        <sz val="11"/>
        <color theme="0"/>
        <rFont val="calibri"/>
        <family val="2"/>
      </rPr>
      <t xml:space="preserve"> </t>
    </r>
    <r>
      <rPr>
        <b/>
        <i/>
        <sz val="14"/>
        <color theme="0"/>
        <rFont val="calibri"/>
        <family val="2"/>
      </rPr>
      <t>Rank</t>
    </r>
  </si>
  <si>
    <t xml:space="preserve">Hindustan times:- union minister </t>
  </si>
  <si>
    <r>
      <t>2</t>
    </r>
    <r>
      <rPr>
        <i/>
        <vertAlign val="superscript"/>
        <sz val="10"/>
        <color theme="1"/>
        <rFont val="calibri"/>
        <family val="2"/>
      </rPr>
      <t xml:space="preserve">nd </t>
    </r>
    <r>
      <rPr>
        <i/>
        <sz val="10"/>
        <color theme="1"/>
        <rFont val="calibri"/>
        <family val="2"/>
      </rPr>
      <t>largest solar power growth market</t>
    </r>
  </si>
  <si>
    <t>Global and India Solar Capacity Historical and Projected</t>
  </si>
  <si>
    <t>Metric</t>
  </si>
  <si>
    <t>Solar Share for global Power (%)</t>
  </si>
  <si>
    <t xml:space="preserve">Annual new additions </t>
  </si>
  <si>
    <t>Europe Addition (GW)</t>
  </si>
  <si>
    <t>US Addition (GW)</t>
  </si>
  <si>
    <t>Global Installed Solar Capacity (GW)</t>
  </si>
  <si>
    <t>India Installed Solar Capacity (GW)</t>
  </si>
  <si>
    <t>Segment/Year</t>
  </si>
  <si>
    <t>FY21</t>
  </si>
  <si>
    <t>FY22</t>
  </si>
  <si>
    <t>FY23</t>
  </si>
  <si>
    <t>FY24</t>
  </si>
  <si>
    <t>FY25</t>
  </si>
  <si>
    <t>India addition (GW)</t>
  </si>
  <si>
    <t>China addition (GW)</t>
  </si>
  <si>
    <t>Total solar installed (GW)</t>
  </si>
  <si>
    <t>Roof-top Solar (GW)</t>
  </si>
  <si>
    <t xml:space="preserve">Total RE installed </t>
  </si>
  <si>
    <t>Solar % of total RE (%)</t>
  </si>
  <si>
    <t>Annual Addition (GW)</t>
  </si>
  <si>
    <t>Pipeline (under impl + Tender GW)</t>
  </si>
  <si>
    <r>
      <t>FY26</t>
    </r>
    <r>
      <rPr>
        <b/>
        <i/>
        <sz val="11"/>
        <color theme="0"/>
        <rFont val="calibri"/>
        <family val="2"/>
      </rPr>
      <t>E</t>
    </r>
  </si>
  <si>
    <r>
      <t>FY30</t>
    </r>
    <r>
      <rPr>
        <b/>
        <i/>
        <sz val="11"/>
        <color theme="0"/>
        <rFont val="calibri"/>
        <family val="2"/>
      </rPr>
      <t>P</t>
    </r>
  </si>
  <si>
    <t>source:- ministry of new and renewable energy</t>
  </si>
  <si>
    <t xml:space="preserve">Grounded mounted (GW) cumulative </t>
  </si>
  <si>
    <t xml:space="preserve">total cumulative </t>
  </si>
  <si>
    <t>Hybrid Projects (Solar Components)</t>
  </si>
  <si>
    <t>off-grid Solar</t>
  </si>
  <si>
    <r>
      <t>2026</t>
    </r>
    <r>
      <rPr>
        <b/>
        <i/>
        <sz val="11"/>
        <color theme="0"/>
        <rFont val="calibri"/>
        <family val="2"/>
      </rPr>
      <t>E</t>
    </r>
  </si>
  <si>
    <r>
      <t>2027</t>
    </r>
    <r>
      <rPr>
        <i/>
        <sz val="11"/>
        <color theme="0"/>
        <rFont val="calibri"/>
        <family val="2"/>
      </rPr>
      <t>P</t>
    </r>
  </si>
  <si>
    <t>2392-2974</t>
  </si>
  <si>
    <t>IEA-PVPS Snapshot 2022</t>
  </si>
  <si>
    <t>3,040 – 3,060</t>
  </si>
  <si>
    <t>3,730 – 3,815</t>
  </si>
  <si>
    <t xml:space="preserve">resource for global installed </t>
  </si>
  <si>
    <t>Total cumulative Global Installed (GW)</t>
  </si>
  <si>
    <t>IEA-PVPS Snapshot 2023</t>
  </si>
  <si>
    <t>IEA-PVPS Snapshot 2024 / IRENA 2024</t>
  </si>
  <si>
    <t>IRENA RE Stats 2025 / REN21</t>
  </si>
  <si>
    <t>IRENA (AC) / IEA-PVPS (DC)</t>
  </si>
  <si>
    <t>BNEF / SolarPower Europe</t>
  </si>
  <si>
    <t>511-698</t>
  </si>
  <si>
    <t>649-665</t>
  </si>
  <si>
    <t>688-755</t>
  </si>
  <si>
    <t xml:space="preserve">Resources for solar share </t>
  </si>
  <si>
    <t>Ember Global Electricity Review 2023</t>
  </si>
  <si>
    <t>Ember Global Electricity Review 2024</t>
  </si>
  <si>
    <t>Ember Global Electricity Review 2025</t>
  </si>
  <si>
    <t>Ember Global Electricity Review 2026</t>
  </si>
  <si>
    <t>~10%</t>
  </si>
  <si>
    <t xml:space="preserve">Ember forward projection </t>
  </si>
  <si>
    <t>~11.7%</t>
  </si>
  <si>
    <t>iea.org/energy-system/renewables/solar-pv</t>
  </si>
  <si>
    <t>~210</t>
  </si>
  <si>
    <t>~250</t>
  </si>
  <si>
    <t>~55</t>
  </si>
  <si>
    <t>~65</t>
  </si>
  <si>
    <t>key findings :</t>
  </si>
  <si>
    <t xml:space="preserve">1. China's additions decline in 2026 : China's NDRC and NEA issued guidelines in February 2025 requiring all new solar projects to bid for grid access under market-based pricing. New projects are no longer entitled to guaranteed above-market fixed tariffs (FIT) — they must sell power at competitive auction prices. This was the single biggest structural trigger for the decline. </t>
  </si>
  <si>
    <t>~44</t>
  </si>
  <si>
    <t>~62</t>
  </si>
  <si>
    <t>~60</t>
  </si>
  <si>
    <t xml:space="preserve">Resources for countrywise additions </t>
  </si>
  <si>
    <t>2. India has a long history of OVERSTATING targets and underdelivering — then catching up later. The flagship 100 GW by 2022 target (set in 2015) was missed by years — India crossed 100 GW only in Jan 2025. Annual addition targets for 2022 and 2023 were both missed due to grid connectivity delays, land acquisition bottlenecks, supply chain issues, and regulatory hurdles. However, the trajectory dramatically improved from 2024 onward, and FY2025–26 saw India smash records, nearly doubling its previous best annual addition.</t>
  </si>
  <si>
    <t>3.US forecasters (SEIA/Wood Mackenzie) are the most ACCURATE and HONEST among all four regions. Their projections, made at the start of each year, came within 10–15% of actuals in 4 of 5 years. The 2022 miss was driven by an unprecedented anticircumvention trade investigation that even Wood Mackenzie acknowledged mid-year could not be predicted. SEIA does not set government targets; it provides market intelligence, and it has consistently flagged downside risks transparently.</t>
  </si>
  <si>
    <t>4.SolarPower Europe's projections are BROADLY ACCURATE and improving. Early forecasts (2021–2022) underestimated the scale of the energy crisis boom. From 2023 onward, SPE's medium scenarios tracked actual deployment within 5%, showing well-calibrated modelling. SPE is a trade body (not government), so its projections are market-based rather than politically motivated. It has also been notably honest about slowing growth and 2030 target risks.</t>
  </si>
  <si>
    <t>Past projections achievements :- 1. China consistently and massively UNDERESTIMATED its own solar deployment every year. CPIA projections made at the start of each year were beaten — often by 30–80%. The 2023 projection of 95–120 GW vs 217 GW actual is the most dramatic miss. China did not overstate targets to look good; it actually achieved far more than it said it would. This reflects genuine demand surprises from policy rushes, local government targets, and rapid cost declines.</t>
  </si>
  <si>
    <t>All actuals are sourced from primary government agencies (NEA, MNRE, EIA) and international bodies (IEA). Forecasts are consensus-based estimates from BNEF, SEIA/Wood Mackenzie, SolarPower Europe, and CPIA — they carry inherent uncertainty</t>
  </si>
  <si>
    <t xml:space="preserve">INDIA SOLAR DEMAND ANALYSIS- BY SEGMENTS AND DRIVERS </t>
  </si>
  <si>
    <t>ANNUAL DEMAND BY SEGMENT (ADDITIONS GW)</t>
  </si>
  <si>
    <t>Segments</t>
  </si>
  <si>
    <t>FY26E</t>
  </si>
  <si>
    <t>FY27P</t>
  </si>
  <si>
    <t>FY30P</t>
  </si>
  <si>
    <t>Utility scale (ground Mounted)</t>
  </si>
  <si>
    <t>Roof-top -Residential (PM Surya ghar)</t>
  </si>
  <si>
    <t>Roof-top -commercial and industrial</t>
  </si>
  <si>
    <t>Hybrid/off-grid/agri (PM-KUSUM)</t>
  </si>
  <si>
    <t>Floating solar</t>
  </si>
  <si>
    <t>TOTAL DEMAND (GW)</t>
  </si>
  <si>
    <t xml:space="preserve">GOVERNMENT DEMAND DRIVERS </t>
  </si>
  <si>
    <t>Drivers</t>
  </si>
  <si>
    <t>Motivation</t>
  </si>
  <si>
    <t>GW Potential (2030)</t>
  </si>
  <si>
    <t>Growth Trend</t>
  </si>
  <si>
    <t>Barriers</t>
  </si>
  <si>
    <t>Green Hydrogen Projects</t>
  </si>
  <si>
    <t>Residential Prosumers</t>
  </si>
  <si>
    <t>~5700</t>
  </si>
  <si>
    <t>~9749</t>
  </si>
  <si>
    <t xml:space="preserve"> - </t>
  </si>
  <si>
    <t>4.9 TW</t>
  </si>
  <si>
    <t>sources:Primary sources: GEM Global Solar &amp; Wind Trackers (Feb 2026), IEA Renewables 2024/2025, IRENA, GWEC</t>
  </si>
  <si>
    <t>what is my findings in roof-top field there is</t>
  </si>
  <si>
    <t>~28-30</t>
  </si>
  <si>
    <t>~45-50</t>
  </si>
  <si>
    <t>~1.5</t>
  </si>
  <si>
    <t>~4-5</t>
  </si>
  <si>
    <t>~10-12</t>
  </si>
  <si>
    <t>~9-11</t>
  </si>
  <si>
    <t>~15-18</t>
  </si>
  <si>
    <t>~6-8</t>
  </si>
  <si>
    <t>~10-15</t>
  </si>
  <si>
    <t>~0.3</t>
  </si>
  <si>
    <t>~0.5-1</t>
  </si>
  <si>
    <t>~2-3</t>
  </si>
  <si>
    <t>~15.0</t>
  </si>
  <si>
    <t>~23.8</t>
  </si>
  <si>
    <t>~44.6</t>
  </si>
  <si>
    <t>~48–55</t>
  </si>
  <si>
    <t>~82–98</t>
  </si>
  <si>
    <t>Sources : Ministry of New &amp; Renewable Energy (MNRE) monthly updates; JMK Research &amp; Analytics — Annual India Solar Report Card FY25 &amp; FY26; SBICAPS Solar Sector Report (Mar 2025); CareEdge Ratings — India Rooftop Solar Market Report (Apr 2025); ValueQuest Investment Advisors Sector Deep-Dive (May 2026); Jefferies India Renewable Energy Report (Apr 2026); IBEF Renewable Energy Industry Update; PV Magazine India; PV-Tech.  |  FY27 &amp; FY30 figures represent analyst consensus mid-range projections and carry estimation uncertainty. Ranges shown where divergence exists across research houses.</t>
  </si>
  <si>
    <t>• MNRE 50 GW/yr RE bidding trajectory (FY24–28)
• Solar Park Scheme — 40 GW; extended to FY29
• CPSU Scheme Phase-II — 12 GW with VGF (₹8,580 cr)
• SECI / NTPC / NHPC / SJVN ISTS tenders</t>
  </si>
  <si>
    <t>• 40 GW solar tenders per year (FY24–28)
• 50 GW/yr total RE bid trajectory
• Solar Parks: 40 GW target by FY29
• CPSU Ph-II: 12 GW target (7 PSUs participating)</t>
  </si>
  <si>
    <t>• FY26: 34.8 GW added — record; +106% YoY
• 55 solar parks sanctioned (39,973 MW across 13 states)
• ISTS waiver expired Jun-25 → FY27 headwind
• ~45 GW pipeline awaiting PPA/PSA signing
• ALMM List-II (solar cells) effective Jun-26 — supply crunch risk</t>
  </si>
  <si>
    <t>FY24 (A): 9.4 GW
FY25 (A): 17.4 GW
FY26 (A): 34.8 GW
FY27 (E): 28–30 GW
FY30 (P): 45–50 GW</t>
  </si>
  <si>
    <t>Largest driver (~75–80% share). FY26 inflated by ISTS pull-forward. FY27 moderation: PPA backlog ~45 GW, ALMM-II cell gap, ISTS charge phase-in. Re-acceleration FY28+ via FDRE/RTC and battery-backed solar. Sources: JMK Research Apr-26; MNRE Mar-26 update; PIB.</t>
  </si>
  <si>
    <t>• PM Surya Ghar: Muft Bijli Yojana (MNRE; Feb-24)
• Outlay: ₹75,021 crore (till FY27)
• Grid-Connected Rooftop Solar Phase-II
• Govt Building Saturation Guidelines (MNRE)</t>
  </si>
  <si>
    <t>• 1 crore (10 mn) household installations by Mar-27
• Subsidy: up to ₹78,000/HH (3 kW system)
• CFA: 60% for ≤2 kW; 40% for 2–3 kW
• 300 units/month free electricity per HH
• Total rooftop solar: 100 GW by 2030 (NEP 2022–32)</t>
  </si>
  <si>
    <t>• 9,566 MW installed by 20-Mar-26 under scheme
• 32 lakh households benefited by Mar-26
• ₹14,771 cr CFA disbursed (Dec-25)
• 47.3 lakh applications; 40 lakh still pending
• Gujarat leads: 7.4 lakh HH; Maharashtra: 6.3 lakh HH
• ALMM-II (DCR cells) from Jun-26 → near-term disruption
• ₹22,000 cr allocated in Union Budget FY27</t>
  </si>
  <si>
    <t>FY24 (A): 0.9 GW
FY25 (A): 1.6 GW
FY26 (A): ~1.5 GW
FY27 (E): 4–5 GW
FY30 (P): 10–12 GW</t>
  </si>
  <si>
    <t>Only ~5% of 70 mn solarisable homes electrified — enormous runway. FY26 additions modest vs potential; subsidy disbursement velocity is binding constraint. FY27 upside significant if ₹22,000 cr flows efficiently. DCR mandate creates near-term supply disruption. Sources: SolarQuarter Mar-26; IBEF; Down to Earth Apr-26; PIB.</t>
  </si>
  <si>
    <t>• Green Energy Open Access Rules (Jun-22; MNRE)
• RPO trajectory: 43.33% by FY30 (solar: 29.91%)
• CERC / State ERC open access regulations
• PM Surya Ghar – commercial component</t>
  </si>
  <si>
    <t>• RPO: solar component 29.91% by FY30
• Green OA: ≥100 kW projects; ≤30-day approval mandate
• Institutional/Govt Buildings: 10 GW by 2026
• C&amp;I share: ~66% of India's total rooftop solar market</t>
  </si>
  <si>
    <t>• 7.5 GW C&amp;I open access additions in FY26
• 10x increase vs FY19 levels
• Segment at grid parity — self-sustaining without subsidy
• Marquee clients: Google, Swiggy, Zepto, iD Fresh Food
• State DISCOM resistance to OA and net-metering caps remain constraints</t>
  </si>
  <si>
    <t>FY24 (A): 2.5 GW
FY25 (A): 3.6 GW
FY26 (A): 7.5 GW
FY27 (E): 9–11 GW
FY30 (P): 15–18 GW</t>
  </si>
  <si>
    <t>India's most commercially self-sustaining solar segment. No subsidy dependency — pure economics drive demand. RPO compliance mandates are an additional tailwind. Key risk: state-level DISCOM resistance to OA approvals and retrospective changes to net-metering policy. Sources: JMK Research; PV Magazine Dec-25; MNRE.</t>
  </si>
  <si>
    <t>Driver / Segment</t>
  </si>
  <si>
    <t>Scheme / Policy</t>
  </si>
  <si>
    <t>Targets</t>
  </si>
  <si>
    <t>Status (Jun-26)</t>
  </si>
  <si>
    <t>Est. Annual GW</t>
  </si>
  <si>
    <t>Analyst Notes</t>
  </si>
  <si>
    <t>1. Utility-Scale Auctions
(Ground-mounted solar)</t>
  </si>
  <si>
    <t>2. Rooftop – Residential
(PM Surya Ghar)</t>
  </si>
  <si>
    <t>3. Rooftop – C&amp;I
(Commercial &amp; Industrial / Open Access)</t>
  </si>
  <si>
    <t>4. Agri Pump Solarisation &amp; Off-Grid
(PM-KUSUM / Hybrid)</t>
  </si>
  <si>
    <t>• PM-KUSUM (Mar-19; MNRE):
  – Comp-A: 10 GW decentralised plants (≤2 MW)
  – Comp-B: 14 lakh standalone solar pumps
  – Comp-C: 35 lakh grid pump solarisations
• PM-KUSUM 2.0 (in preparation; ₹50,000 cr budget)
• CFA: 30–50% of benchmark cost</t>
  </si>
  <si>
    <t>• Phase I total capacity: 34.8 GW; CFA: ₹34,422 cr
• Comp-A: 10,000 MW decentralised solar plants
• Comp-B: 14 lakh standalone off-grid solar pumps
• Comp-C: 35 lakh grid-connected pump solarisations
• PM-KUSUM 2.0: ₹50,000 cr budget; 10 GW agrivoltaics (confirmed Mar-26 summit)</t>
  </si>
  <si>
    <t>• PM-KUSUM Phase I: ~10,203 MW installed by Mar-26
• 9 lakh+ standalone pumps installed (Comp-B; Oct-25)
• 9,74,458 Feeder-Level Solarisation pumps completed (Comp-C)
• Financial close extended to Sep-26; commissioning to Mar-27
• PM-KUSUM 2.0 budget +45% vs Phase I
• Key states: Rajasthan, MP, Maharashtra, AP</t>
  </si>
  <si>
    <t>FY24 (A): 2.0 GW
FY25 (A): 1.1 GW
FY26 (A): 7.5 GW
FY27 (E): 6–8 GW
FY30 (P): 10–15 GW</t>
  </si>
  <si>
    <t>Largest addressable market by asset count (191 GW agri-solar TAM per ValueQuest). FY25 below-par due to state execution delays; FY26 record catch-up. PM-KUSUM 2.0 with agrivoltaics is the next inflection. Execution risk is primary constraint historically. Sources: MNRE; PIB Oct-25; Reslink Apr-26; IBEF.</t>
  </si>
  <si>
    <t>5. cPSU &amp; Govt Buildings
(Central/State PSU Rooftop)</t>
  </si>
  <si>
    <t>• CPSU Scheme Phase-II (MNRE/SECI): 12 GW with ₹8,580 cr VGF
• PM Surya Ghar — Govt Building Saturation guidelines issued (MNRE)
• DISCOM rooftop solar schemes (state-level)
• DCR mandatory for all CPSU projects</t>
  </si>
  <si>
    <t>• CPSU Ph-II: 12 GW grid-connected solar for govt use
• Institutional/Govt Buildings: 10 GW by 2026
• 100% saturation of government buildings under PM Surya Ghar
• VGF cap: ₹0.55 cr/MW (revised from ₹0.70 cr/MW)</t>
  </si>
  <si>
    <t>• CPSU Ph-I (1,000 MW): 9 PSUs — substantially commissioned
• CPSU Ph-II: 7 entities participating (NHDC, NTPC, DMRC, Singareni, Assam DISCOMs, Nalanda Univ, Indore Muni Corp)
• Parliamentary Standing Committee flagged underperformance; urged MNRE to expand PSU participation
• Chandigarh &amp; D&amp;NH: 100% govt building solar target achieved</t>
  </si>
  <si>
    <t>FY24 (A): 0.4 GW
FY25 (A): 0.6 GW
FY26 (A): 0.8 GW
FY27 (E): 1.0–1.5 GW
FY30 (P): 3–4 GW</t>
  </si>
  <si>
    <t>Persistently underperforming vs target. Parliamentary Committee cited lack of proactive PSU outreach. VGF mechanism + DCR requirement limits commercial appeal. PM Surya Ghar 100% building saturation mandate creates renewed pathway. Execution risk remains primary constraint. Sources: Business Standard; MNRE CPSU page; PIB.</t>
  </si>
  <si>
    <t>6. Green Hydrogen &amp; Industry
(Dedicated RE for GH2 / Industrial Captive)</t>
  </si>
  <si>
    <t>• National Green Hydrogen Mission (NGHM; Jan-23; MNRE/MoPNG)
• SIGHT Scheme Mode 1 — electrolyser manufacturing incentive
• SIGHT Scheme Mode 2 — production incentive (GH2/ammonia)
• SECI-designated RE zones (Rajasthan, Gujarat, AP, TN)</t>
  </si>
  <si>
    <t>• 5 MMT green hydrogen production by 2030
• 15 GW electrolyser capacity by 2030
• ~100–120 GW dedicated solar needed for 5 MMT H2 target
• SIGHT Mode 2A: 7,24,000 TPA green ammonia; 1,485 MW electrolyser capacity
• Budget FY27: ₹600 cr for NGHM retained; MNRE total ₹44,614 cr (+40.5% YoY)</t>
  </si>
  <si>
    <t>• ~8,000 TPA green hydrogen commissioned (Feb-26) — early stage
• 8,62,000 MTPA GH2 capacity awarded to 18 companies
• SECI signed 6 green ammonia supply agreements (Mar-26); 670,000 of 724,000 TPA signed
• 3,000 MW/yr electrolyser mfg capacity awarded to 15 cos.
• GH2 cost: ₹397–560/kg vs grey H2 ₹150–200/kg — cost gap remains material
• MNRE budget FY27: ₹44,614 cr (+40.5% YoY)</t>
  </si>
  <si>
    <t>FY24 (A): 0.3 GW
FY25 (A): 0.5 GW
FY26 (A): 0.8 GW
FY27 (E): 1.5–2 GW
FY30 (P): 10–15 GW
(dedicated solar for GH2)</t>
  </si>
  <si>
    <t>Currently nascent but rapidly scaling. Each tonne of GH2 requires ~50–55 MWh of RE. India's 5 MMT target implies 100–120 GW dedicated solar by 2030. Even 10% realisation = 10–12 GW new solar demand. SIGHT awards demonstrate commercial traction; cost parity narrowing. Sources: MNRE NGHM; SolarQuarter Mar-26; Reslink Apr-26.</t>
  </si>
  <si>
    <t>7. Defence &amp; Railways
(Captive / Institutional Solar)</t>
  </si>
  <si>
    <t>• Indian Railways Green Mission — Net Zero by 2030
• SECI RTC tenders for Railways (dedicated power supply)
• MNRE Defence Scheme (captive solar for armed forces)
• Ministry of Defence RE procurement policy
• Station rooftop solar — DISCOM/RailTel programme</t>
  </si>
  <si>
    <t>• Indian Railways: Net Zero Carbon by 2030
• Railways: 30 GW RE for own consumption by 2030
• SECI: 2 GW RE procurement for Railways in FY26–27
• MNRE Defence target: not publicly disclosed (classified)
• All railway stations: 100% solar coverage target</t>
  </si>
  <si>
    <t>• 2,626+ stations operating on rooftop solar (Dec-25)
• ACME Solar: won 130 MW RTC supply contract for Railways
• Rays Power Infra: 200 MW RTC (SECI tender, Mar-26)
• Indian Railways: ~18 BU/yr electricity — India's largest single institutional RE buyer
• Defence installations: programme ongoing; data sub-classified</t>
  </si>
  <si>
    <t>FY24 (A): 0.2 GW
FY25 (A): 0.3 GW
FY26 (A): 0.4 GW
FY27 (E): 0.8–1.0 GW
FY30 (P): 3–5 GW</t>
  </si>
  <si>
    <t>Underappreciated demand source. Railways is world's 4th-largest rail network and India's largest institutional RE buyer (~18 BU/yr). Net Zero 2030 + traction electrification require massive RE procurement. Defence has large suitable land holdings — data classified. Combined 3–5 GW/yr by FY30 is achievable. Sources: RenewableAffairs Dec-25; SolarQuarter Mar-26; IBEF; MNRE.</t>
  </si>
  <si>
    <t>Sources: MNRE monthly updates; JMK Research Apr-26; PIB; IBEF; SolarQuarter; PV Magazine India; Reslink Energy; Renewablewatch.in; Down to Earth Apr-26. Disclaimer: Projected figures are research estimates only and do not constitute investment advice.</t>
  </si>
  <si>
    <t>2)Avaada Energy Ltd. 3rd largest solar PV manufacturer in India by operational capacity 
World's largest single-site solar plant (1.25 GW at Bikaner, Rajasthan)
Vertically integrated: solar → modules → green hydrogen → green ammonia → BESS
$1.3 billion Brookfield investment — deepest private equity backing in sector
Avaada Electro filed confidential DRHP with SEBI — potentially India's largest-ever solar IPO.</t>
  </si>
  <si>
    <t>Example Companies</t>
  </si>
  <si>
    <t>Corporate PPAs</t>
  </si>
  <si>
    <t>Google, Microsoft, Amazon, Meta, TotalEnergies, NextEra Energy, Enel, Orsted</t>
  </si>
  <si>
    <t>ESG mandates, RE100 commitments, long-term price certainty, carbon reduction targets, AI data center power needs</t>
  </si>
  <si>
    <t>~500 GW globally
(30% of all renewable expansion to 2030; AI hyperscalers adding 160 GW pipeline in US alone)</t>
  </si>
  <si>
    <t>⬆ Very Strong
(doubled share vs prior forecast; Asia-Pacific at 18% CAGR)</t>
  </si>
  <si>
    <t>Complex &amp; lengthy contract negotiations; additionality requirements; basis risk in virtual PPAs; grid congestion in key markets</t>
  </si>
  <si>
    <t>Industrial Captive</t>
  </si>
  <si>
    <t>Reliance Industries, Tata Power, ArcelorMittal, JSW Energy, Vedanta, POSCO, Rio Tinto</t>
  </si>
  <si>
    <t>Energy cost reduction, decarbonisation of operations, energy security, replacing captive coal especially in metals &amp; mining sectors</t>
  </si>
  <si>
    <t>~150–200 GW
(significant in India, Indonesia, SE Asia; solar+storage now economical vs captive coal at $80/kWh battery packs)</t>
  </si>
  <si>
    <t>⬆ Strong
(India open access reforms; Asian bank coal financing drying up; BOS costs down 30–50%)</t>
  </si>
  <si>
    <t>Permitting &amp; land acquisition; grid evacuation rights; upfront capex; regulatory inconsistency across states; incumbent fossil fuel lobbying</t>
  </si>
  <si>
    <t>EV Charging Infrastructure</t>
  </si>
  <si>
    <t>ChargePoint, ABB, Blink Charging, BP Pulse, Tesla Energy, Tritium, EVgo, Wallbox</t>
  </si>
  <si>
    <t>Decarbonise transport, reduce grid peak load, achieve energy independence for charging hubs, government mandates requiring solar canopies</t>
  </si>
  <si>
    <t>~60–80 GW
(US needs 1.2M public + 28M private chargers by 2030; California alone investing $2.3B in zero-emission infra)</t>
  </si>
  <si>
    <t>⬆ Moderate–Strong
(119 GW utility solar planned in US to 2030; EV-solar pairing growing but still early)</t>
  </si>
  <si>
    <t>High upfront solar+storage cost; grid interconnection delays; range anxiety slowing EV adoption; rural infrastructure gaps; policy rollback risk</t>
  </si>
  <si>
    <t>Nel ASA, ITM Power, Plug Power, Iberdrola, ENGIE, RWE, Ørsted, Fortescue Future Industries</t>
  </si>
  <si>
    <t>Decarbonise hard-to-abate industries (steel, ammonia, shipping); energy export revenue; government hydrogen strategies</t>
  </si>
  <si>
    <t>~43 GW renewable capacity dedicated to hydrogen by 2030
(IEA: &lt;1% of total global renewable expansion; early stage but policy-driven)</t>
  </si>
  <si>
    <t>⬆ Early/Emerging
(cost of green H2 still 2–4x grey H2; massive projects announced in AU, EU, Middle East, India)</t>
  </si>
  <si>
    <t>High electrolyzer &amp; transport costs; lack of end-user offtake certainty; certification standards fragmented; scaling renewable supply chains for gigawatt-scale</t>
  </si>
  <si>
    <t>SunPower, Enphase Energy, SolarEdge, Tesla (Powerwall), Sonnen, Fronius, Growatt, Waaree (India)</t>
  </si>
  <si>
    <t>Electricity bill savings, energy independence, feed-in tariff income, EV charging at home, battery backup resilience</t>
  </si>
  <si>
    <t>~300–400 GW
(global distributed solar grew 60%+ in 2023; Europe added 62 GW in 2024; India rooftop solar fast accelerating)</t>
  </si>
  <si>
    <t>⬆ Strong
(perovskite efficiency gains; module prices &lt;$0.11/W; blockchain peer-to-peer trading emerging)</t>
  </si>
  <si>
    <t>Grid export curtailment; net metering policy rollbacks; high installation cost in developing markets; roof suitability &amp; tenant barriers; inverter/battery supply chain constraints</t>
  </si>
  <si>
    <t>Sources: IEA Renewables 2025, Wood Mackenzie, SEIA Q2 2025, S&amp;P Global, BloombergNEF, PMC/Nature (Industrial Captive), WRI, Mordor Intelligence — June 2026</t>
  </si>
  <si>
    <t>INDIA SOLAR - SUPPLY VS DEMAND AND OVERCAPACITY ANALYSIS</t>
  </si>
  <si>
    <t>SUPPLY VS DEMAND BALANCE (India Module Manufacturing)</t>
  </si>
  <si>
    <t xml:space="preserve">METRICS </t>
  </si>
  <si>
    <t>2026E</t>
  </si>
  <si>
    <t>Module Mfg Capacity (GW) — ALMM List-I</t>
  </si>
  <si>
    <t>Actual Module Mfg Capacity (total India)</t>
  </si>
  <si>
    <t>Domestic Annual Installation Demand (GW)</t>
  </si>
  <si>
    <t>Capacity Utilisation Rate (%)</t>
  </si>
  <si>
    <t>Surplus / Overbuilt vs Demand (GW)</t>
  </si>
  <si>
    <t>Export Volume (GW)</t>
  </si>
  <si>
    <t>Effective Utilisation incl. Exports (%)</t>
  </si>
  <si>
    <t>18</t>
  </si>
  <si>
    <t>35</t>
  </si>
  <si>
    <t>67</t>
  </si>
  <si>
    <t>~120</t>
  </si>
  <si>
    <t>~150</t>
  </si>
  <si>
    <t>2022: ~18 GW ALMM-listed (MNRE). 2023: ~35 GW (Mercom). 2024: 64.6 GW ALMM Jan-25 per MNRE/Mercom State of Solar PV Mfg 2025. 2025: +81 GW added CY2025; ALMM hits ~144 GW by Nov-25 (MNRE/TaiyangNews Jan-26). 2026E: ~150 GW est.</t>
  </si>
  <si>
    <t>20</t>
  </si>
  <si>
    <t>40</t>
  </si>
  <si>
    <t>~80</t>
  </si>
  <si>
    <t>~154</t>
  </si>
  <si>
    <t>~180</t>
  </si>
  <si>
    <t>2024: capacity scaled 72 GWp (Mar-24) → ~80 GWp (Dec-24) per CareEdge Nov-25. 2025: 118 GWp Jul-25 → ~154 GW Dec-25 (MNRE ALMM + non-ALMM). 2026E: EUPD/CareEdge proj. &gt;180 GW. Source: MNRE; Mercom; CareEdge Advisory Nov-2025.</t>
  </si>
  <si>
    <t>~19</t>
  </si>
  <si>
    <t>~15</t>
  </si>
  <si>
    <t>~24</t>
  </si>
  <si>
    <t>37.5–44.6</t>
  </si>
  <si>
    <t>~50</t>
  </si>
  <si>
    <t>2022: ~19 GW (Ember/IEA). 2023: ~12-15 GW — IEA notes 'one-third below 2022' (IEA Solar 2023). 2024: record 24.5 GW solar added (Enerdata/MNRE Feb-25). 2025: 34.98 GW solar PV added Jan-Nov 2025 (MNRE); full-year est 37.5-44.6 GW. 2026E: ~50 GW per CEA NEP trajectory.</t>
  </si>
  <si>
    <t>~90%</t>
  </si>
  <si>
    <t>~43%</t>
  </si>
  <si>
    <t>~35%</t>
  </si>
  <si>
    <t>~40%</t>
  </si>
  <si>
    <t>2022: near-full utilisation; ALMM paused, domestic demand absorbed output. 2023: sharp drop — ALMM suspension + IEA-reported install slowdown. 2024: ALMM reimposed Apr-24; utilisation ~35% vs enlarged base. 2025: ~40% vs 154 GW capacity (Wood Mackenzie Oct-25 overcapacity warning). Source: WoodMac; Mercom; IEA.</t>
  </si>
  <si>
    <t>~1</t>
  </si>
  <si>
    <t>~25</t>
  </si>
  <si>
    <t>~56</t>
  </si>
  <si>
    <t>~115</t>
  </si>
  <si>
    <t>~130</t>
  </si>
  <si>
    <t>WoodMac Oct-25: inventory surplus 13 GW (Q4-23) → 22 GW (Q4-24) → 29 GW (Q3-25). Structural surplus = total capacity minus effective demand (domestic + exports). 2025: 154 GW capacity vs ~55 GW effective demand. WoodMac warns of 'rapid overcapacity similar to China's price collapse.' Source: Wood Mackenzie Oct-2025; Business Standard Nov-2025.</t>
  </si>
  <si>
    <t>~2</t>
  </si>
  <si>
    <t>~8</t>
  </si>
  <si>
    <t>~10–15</t>
  </si>
  <si>
    <t>~15–20</t>
  </si>
  <si>
    <t>FY2022: ~0.3 GW ($83M). FY2024: 5.8 GW — 3× FY2023; US = 99% of exports (IEEFA/PV-Magazine Nov-24). 2025: US 50% reciprocal tariffs cut India-US shipments -52% H1-25 (WoodMac Oct-25); diversifying to EMEA. EUPD: India module exports could reach 143 GW by 2030. Source: IEEFA Nov-2024; WoodMac Oct-2025; EUPD Nov-2025.</t>
  </si>
  <si>
    <t>~95%</t>
  </si>
  <si>
    <t>~48%</t>
  </si>
  <si>
    <t>~45%</t>
  </si>
  <si>
    <t>~47%</t>
  </si>
  <si>
    <t>~50%</t>
  </si>
  <si>
    <t>Formula: (Domestic module demand + Exports) ÷ Total capacity. 2022: combined demand ~19 GW + ~1 GW exports vs 20 GW cap. 2023: ~18 GW total vs 40 GW cap. 2024: ~50 GWdc demand + ~8 GW exports vs 80 GW = ~45%. 2025: ~55 GW effective vs 154 GW = ~47%. 2026E: improves to ~50% if export diversification succeeds. Source: CareEdge; IEEFA; WoodMac.</t>
  </si>
  <si>
    <t>Sources</t>
  </si>
  <si>
    <t>Structural Overcapacity:
Module Capacity vs Demand</t>
  </si>
  <si>
    <t>India's module manufacturing capacity surpassed ~125 GW by 2025 — more than 3× the domestic demand of ~40 GW. Inventory surplus reached 29 GW by Q3-2025, up from 13 GW (Q4-23) and 22 GW (Q4-24). ICRA projects capacity will exceed 165 GW by Mar-2027 against annual installations of only 45–50 GWdc. Capacity utilisation has collapsed from ~90% (2022) to ~35-40% (2025).
Source: Wood Mackenzie 'Perfect Storm in the Indian Solar Supply Chain' Oct-2025; ICRA Nov-2025</t>
  </si>
  <si>
    <t>VERY HIGH</t>
  </si>
  <si>
    <t>ACTIVE / WORSENING</t>
  </si>
  <si>
    <t>NEGATIVE</t>
  </si>
  <si>
    <t>China Parallel:
Price Collapse Risk</t>
  </si>
  <si>
    <t>Wood Mackenzie explicitly warns: 'The industry is now seeing warning signs of rapid overcapacity similar to those that preceded China's recent price collapse' (Yana Hryshko, Head of Solar Supply Chain Research, WoodMac Oct-2025). Operating profitability for domestic solar OEMs, elevated at 25% in FY2025, is likely to moderate due to competitive pressures (ICRA Nov-2025). Consolidation of smaller/pure-play module players expected.
Source: Wood Mackenzie Oct-2025; ICRA Nov-2025; IndexBox Nov-2025</t>
  </si>
  <si>
    <t>CRITICAL</t>
  </si>
  <si>
    <t>CONFIRMED</t>
  </si>
  <si>
    <t>Capacity Utilisation Rate:
Structural Collapse</t>
  </si>
  <si>
    <t>Effective utilisation (domestic + exports) declined from ~95% (2022) to ~47% (2025). Even at a 65% CUF breakeven (EUPD Research Nov-2025), most manufacturers are operating below viability thresholds. PLI-driven capacity additions total +82 GW in modules and +22.7 GW in cells since 2022 (IEEFA Dec-2025), compounding the utilisation gap.
Source: EUPD Group Nov-2025; IEEFA/JMK Research Dec-2025; Wood Mackenzie Oct-2025</t>
  </si>
  <si>
    <t>HIGH</t>
  </si>
  <si>
    <t>STRUCTURAL</t>
  </si>
  <si>
    <t>WATCH</t>
  </si>
  <si>
    <t xml:space="preserve">   EXPORT MARKET RISK</t>
  </si>
  <si>
    <t>US Tariff Shock:
Primary Export Market Disrupted</t>
  </si>
  <si>
    <t>The US accounted for 99% of India's PV module exports in FY2024 (IEEFA Nov-2024). New 50% US reciprocal tariffs imposed in 2025 caused India-to-US module shipments to fall 52% in H1-2025 (Wood Mackenzie Oct-2025). Several Indian manufacturers have paused US factory plans. India exported 5.8 GW (FY2024) — 3× FY2023 — but this growth momentum is now severely curtailed.
Source: IEEFA Nov-2024; Wood Mackenzie Oct-2025; PV-Magazine Nov-2024</t>
  </si>
  <si>
    <t>DISRUPTED</t>
  </si>
  <si>
    <t>Export Diversification:
EMEA &amp; Emerging Markets</t>
  </si>
  <si>
    <t>EUPD Research (Nov-2025) estimates India's module exports could reach 143 GW by 2030 if successful diversification to EMEA and other markets is achieved. India holds a freight cost advantage over China for European markets (~5% of module price vs 8.7% for China), and shipping emissions are ~65% lower. EU-India FTA under negotiation could add mutual certification momentum. However, Indian modules remain 14–17% more expensive than Chinese/SE Asian alternatives at minimum sustainable prices.
Source: EUPD Group Nov-2025; PV-Magazine Nov-2025</t>
  </si>
  <si>
    <t>MEDIUM</t>
  </si>
  <si>
    <t>IMPROVING</t>
  </si>
  <si>
    <t>MIXED</t>
  </si>
  <si>
    <t xml:space="preserve">   COST COMPETITIVENESS</t>
  </si>
  <si>
    <t>India vs China Module Cost Gap:
TOPCon Price Differential</t>
  </si>
  <si>
    <t>Spot price gap between Indian and Chinese TOPCon modules narrowed from $0.09/W (Q1-2024) to $0.057/W (Oct-2025), reflecting advances in automation, scale, and production efficiency (EUPD Nov-2025). However, Indian-assembled modules using imported cells still cost at least $0.03/W more than fully imported Chinese modules. A fully 'Made in India' module (domestic cells) costs 2× Chinese modules (Wood Mackenzie Oct-2025). Indian DCR-compliant TOPCon projects are ~37–38% more expensive than Chinese module-based projects (Mercom Q4-2025 report, Mar-2026).
Source: EUPD Nov-2025; Wood Mackenzie Oct-2025; Mercom Mar-2026</t>
  </si>
  <si>
    <t>UNDER PRESSURE</t>
  </si>
  <si>
    <t>Domestic Cell Cost Premium:
ALMM List-II Transition Risk</t>
  </si>
  <si>
    <t>Modules using domestically produced cells (ALMM List-II, effective June 2026) are projected to cost 3–4 cents/W more than modules using imported cells (ICRA Nov-2025). Cell capacity under ALMM List-II stands at only ~24–29 GW vs 120 GW of module capacity — a 4:1 mismatch. ICRA projects cell capacity to grow from ~18 GW (ALMM) to ~100 GW by Dec-2027, but the transition period creates pricing risk. Projects with bid submission before Sept-1-2025 (45–50 GW pipeline) are ALMM List-II exempt.
Source: ICRA Nov-2025; MNRE ALMM List-II; PV-Magazine Nov-2025</t>
  </si>
  <si>
    <t>MEDIUM-HIGH</t>
  </si>
  <si>
    <t xml:space="preserve">   SUPPLY CHAIN &amp; INTEGRATION</t>
  </si>
  <si>
    <t>Upstream Import Dependency:
Cells, Wafers, Polysilicon</t>
  </si>
  <si>
    <t>Despite 120 GW module capacity, India's cell capacity was only ~29 GW (Jun-2025) and wafer capacity only ~5.3 GW (IEEFA/JMK Dec-2025). India imports 40–45 GWp of cells annually, predominantly from China (CareEdge Nov-2025). All polysilicon and equivalent upstream capacity comes solely from PLI beneficiaries. Solar module imports declined from $4,353M (FY24) to $2,151M (FY25) — a positive signal — but cell import dependency persists (CEEW Nov-2025).
Source: IEEFA/JMK Dec-2025; CareEdge Nov-2025; CEEW Nov-2025</t>
  </si>
  <si>
    <t>PLI Scheme Delivery:
Capacity Below Targets</t>
  </si>
  <si>
    <t>PLI scheme overall achievement rate was ~29% of awarded capacity as of June 2025. Only 56% of module and 14% of polysilicon capacity was realised. Of the targeted 65 GW module capacity, only 31 GW was commissioned, attracting Rs 48,120 crore (~$5.5B) in investments and 38,500 direct jobs — far below targets of Rs 94,000 crore and 1.95 lakh jobs (IEEFA/JMK Dec-2025). PLI awardees face cumulative financial risk of up to Rs 41,834 crore (~$4.8B) if non-compliant.
Source: IEEFA/JMK Research Dec-2025; MNRE; JMK Research Dec-2025</t>
  </si>
  <si>
    <t>BELOW TARGET</t>
  </si>
  <si>
    <t xml:space="preserve">   DEMAND &amp; POLICY OUTLOOK</t>
  </si>
  <si>
    <t>Domestic Demand Growth:
Record Solar Installations</t>
  </si>
  <si>
    <t>India added a record 34.98 GW solar PV in Jan-Nov 2025 (+67% YoY) and crossed 100 GW installed capacity milestone in January 2025 (MNRE). FY2025 saw 23.83 GW of solar added (CareEdge). CEA's NEP requires ~41 GW/year to reach 185.6 GW solar by FY2027. The PM Surya Ghar scheme and 84 GW project pipeline under implementation provide strong demand visibility. Annual solar installations expected at 45–50 GWdc — the floor for sustainable utilisation.
Source: MNRE Nov-2025; CareEdge Nov-2025; Enerdata Feb-2025; CEA NEP</t>
  </si>
  <si>
    <t>POSITIVE</t>
  </si>
  <si>
    <t>ACCELERATING</t>
  </si>
  <si>
    <t>ALMM / BCD Policy Framework:
Domestic Protection Architecture</t>
  </si>
  <si>
    <t>40% Basic Customs Duty (BCD) on imported modules + 25% on cells (effective Apr-2022) shields domestic producers. ALMM List-I (120 GW enlisted by Oct-2025) mandates government-backed projects to use approved domestic modules. ALMM List-II (solar cells, effective Jun-2026) will anchor cell demand. Wafer mandate (ALMM List-III) proposed for June 2028. These policies have cut module imports from $4.35B (FY24) to $2.15B (FY25) — a 51% reduction (CEEW Nov-2025).
Source: MNRE; CEEW Nov-2025; ICRA Nov-2025</t>
  </si>
  <si>
    <t>STABLE</t>
  </si>
  <si>
    <t>Technology Transition:
TOPCon Dominance &amp; HJT Potential</t>
  </si>
  <si>
    <t>~80% of India's installed module capacity (Dec-2024) produces M10/G12 wafer formats (Mercom Apr-2025). TOPCon technology is gaining dominance globally (49% of global production capacity). India's domestic TOPCon modules are 1–1.5 percentage points less efficient than leading Chinese brands (EUPD Nov-2025). India needs stronger R&amp;D investment: majority of global solar patents originate from Tier-1 Chinese firms. Indian TOPCon DCR projects declined 3.4% in cost in Q4-2025 (Mercom Mar-2026) — a positive trajectory.
Source: EUPD Nov-2025; Mercom Apr-2025; Mercom Mar-2026</t>
  </si>
  <si>
    <t>CAUTIOUSLY POSITIVE</t>
  </si>
  <si>
    <t xml:space="preserve">   OVERALL VERDICT</t>
  </si>
  <si>
    <t>🔴 OVERCAPACITY VERDICT:
Near-Term Critical Risk</t>
  </si>
  <si>
    <t>India's solar module sector is in a structural overcapacity crisis. Capacity of ~154 GW vs ~40 GW domestic demand (3.8:1 ratio) is unsustainable. The US tariff shock has removed the primary export relief valve. Profitability will compress. Consolidation of smaller/pure-play module makers is inevitable (ICRA Nov-2025). HOWEVER — India remains 'the only credible, large-scale alternative to the Chinese solar supply chain' (WoodMac Oct-2025). Strong domestic demand growth (+67% YoY installs), improving cost competitiveness, EMEA export potential, and robust policy architecture provide a credible medium-term recovery pathway. The next 24 months will be the critical test.
Consolidated verdict: Wood Mackenzie | ICRA | IEEFA/JMK | EUPD | CEEW | Mercom | MNRE</t>
  </si>
  <si>
    <t>Verified Sources: Wood Mackenzie 'Perfect Storm in Indian Solar Supply Chain' Oct-2025 | ICRA Nov-2025 | IEEFA/JMK Research Dec-2025 | EUPD Group Nov-2025 | CEEW Nov-2025 | Mercom India Apr-2025 &amp; Mar-2026 | CareEdge Advisory Nov-2025 | MNRE ALMM List-I/II | Enerdata Feb-2025 | PV-Magazine | TaiyangNews</t>
  </si>
  <si>
    <t>Item</t>
  </si>
  <si>
    <t>Spot Module Price ($/W) — early 2025</t>
  </si>
  <si>
    <t>Module Price ($/W) — post China VAT cancellation</t>
  </si>
  <si>
    <t>US Import Price ($/W, post tariff)</t>
  </si>
  <si>
    <t>BCD Impact on China in India (+40% BCD)</t>
  </si>
  <si>
    <t>ALMM Domestic Premium (INR/W)</t>
  </si>
  <si>
    <t>Solar + Storage LCOE ($/MWh) — India</t>
  </si>
  <si>
    <t>Chinese Import</t>
  </si>
  <si>
    <t>India Domestic</t>
  </si>
  <si>
    <t>Price Gap</t>
  </si>
  <si>
    <t>India Advantage?</t>
  </si>
  <si>
    <t>$0.087–$0.10/W
(FOB China)
OPIS/Dow Jones Nov-2025</t>
  </si>
  <si>
    <t>$0.14–$0.17/W
(Non-DCR Indian)
Bridge to India / Mercom 2024</t>
  </si>
  <si>
    <t>+$0.04–$0.07/W
 India costlier
(~50–70% premium)</t>
  </si>
  <si>
    <t>NO — China Cheaper</t>
  </si>
  <si>
    <t>Chinese FOB TOPCon spot: $0.087/W (OPIS CMM Nov-2025). Bridge to India (2024): China module prices reached $0.08/Wp (−32% in 2024). India non-DCR modules: ~$0.14–$0.17/W per Mercom India (mid-2024). Indian TOPCon DCR modules: ~$0.27–$0.29/W (SMM Jan-2026; Mercom Jul-2024). India-China TOPCon spot gap: narrowed from $0.09/W (Q1-24) → $0.057/W (Oct-25) per EUPD Nov-2025. Sources: OPIS/Dow Jones; Bridge to India Dec-2024; EUPD Nov-2025; Mercom India.</t>
  </si>
  <si>
    <t>$0.119–$0.130/W
(FOB China post-rebate)
OPIS Apr-2026</t>
  </si>
  <si>
    <t>$0.14–$0.17/W
(Non-DCR India)
~$0.27–$0.29/W (DCR)</t>
  </si>
  <si>
    <t>Non-DCR gap narrows
to +$0.01–$0.04/W;
DCR still 2× China</t>
  </si>
  <si>
    <t>PARTIAL — Improving</t>
  </si>
  <si>
    <t>China cancelled 9% PV export VAT rebate from Apr 1, 2026. OPIS/Dow Jones (Apr-2026): FOB China TOPCon rose to $0.119/W (weekly) → post-rebate baseline ~$0.13/W. Mercom India (Mar-2026): module prices could rise +14% from $0.086/W → ~$0.098/W by Q4-2026. Forward price Q4-2026: $0.121/W (OPIS Apr-2026). The rebate cancellation effectively reduces China's price advantage in the Indian market. Sources: OPIS/Dow Jones Apr-2026; Mercom India Mar-2026; PV-Magazine India Apr-2026; China MoF Jan-2026.</t>
  </si>
  <si>
    <t>$0.25–$0.29/W DDP US
(Chinese/SE Asia modules)
OPIS / SolarTechOnline</t>
  </si>
  <si>
    <t>$0.28–$0.31/W DDP US
(Indian modules)
EUPD Nov-2025</t>
  </si>
  <si>
    <t>India-SEA gap doubled
from +$0.031 → +$0.062/W
post-tariff (EUPD)</t>
  </si>
  <si>
    <t>PARTIAL — Watch</t>
  </si>
  <si>
    <t>DDP US TOPCon (Chinese/SE Asian): $0.290/W (OPIS CMM), range $0.220–$0.330/W (SolarTechOnline 2025). India 50% US reciprocal tariff (2025) caused India-to-US module exports to fall 52% in H1-2025 (WoodMac Oct-2025). India-SEA price gap doubled from 3.1 → 6.2 US¢/W post-tariff (EUPD Nov-2025). Forward: DDP US TOPCon for Q1-2027 assessed at $0.278/W (OPIS, Apr-2026). Sources: OPIS/Dow Jones; EUPD Nov-2025; Wood Mackenzie Oct-2025; SolarTechOnline 2025.</t>
  </si>
  <si>
    <t>FOB: $0.087/W
Landed (20% BCD +
7.5% AIDC): ~$0.113/W</t>
  </si>
  <si>
    <t>India Domestic:
~$0.14–$0.17/W
(non-DCR) to $0.27/W (DCR)</t>
  </si>
  <si>
    <t>BCD closes ~60%
of raw price gap;
DCR still ~2× Chinese FOB</t>
  </si>
  <si>
    <t>YES — Tariff-Protected</t>
  </si>
  <si>
    <t>Budget 2025-26 revised BCD: modules 40% → 20%, cells 25% → 20% (effective Feb-2025). Added 7.5% AIDC (Agriculture Infrastructure &amp; Development Cess). Net duty burden: 27.5% on modules (20% BCD + 7.5% AIDC). Chinese cells landed: $0.042/W FOB → $0.053/W post-duty (20% BCD + 7.5% AIDC) per CEEW Nov-2025. Anti-Dumping Duty: DGTR recommended 23–30% ADD on Chinese cells/modules (Sep-30-2025, 3-year period). Total effective duty on Chinese modules (BCD+AIDC+ADD): 50–70% of CIF value per SurgePV Apr-2026. Sources: Union Budget 2025-26; CEEW Nov-2025; DGTR Sep-2025; SurgePV Apr-2026.</t>
  </si>
  <si>
    <t>Non-DCR import:
₹13.50–14.50/W
(~$0.16–$0.17/W)
Mercom India Jul-2024</t>
  </si>
  <si>
    <t>DCR module:
₹23–25/W
(~$0.27–$0.29/W)
Mercom; SMM Jan-2026</t>
  </si>
  <si>
    <t>₹8–12/W premium
(~$0.09–$0.12/W)
for DCR compliance</t>
  </si>
  <si>
    <t>NO — India Costs More</t>
  </si>
  <si>
    <t>Mercom India (Jul-2024): Imported non-DCR modules ₹13.50–₹14.50/W (~$0.16–$0.17/W); DCR modules ~₹23/W (~$0.27/W). DCR premium: ~₹8–12/W over non-DCR (Mercom; Lumencity May-2026). SMM (Jan-2026): DCR TOPCon $0.289/W; non-DCR $0.155/W — spread nearly doubled. JMK Research (Aug-2025): DCR module premium raises project power tariff by INR 0.4–0.5/unit. Switching DCR → non-DCR saves ~Rs 0.45 crore/MW in project cost (SolarSure Apr-2026). ALMM List-II (effective Jun-2026) will further tighten DCR requirements. Sources: Mercom India Jul-2024; SMM Jan-2026; JMK Research Aug-2025; SolarSure Apr-2026.</t>
  </si>
  <si>
    <t>China LCOE: $27–33/MWh
(utility solar, WoodMac 2025)
Storage: ~$54–82/MWh
(IRENA 2025 global)</t>
  </si>
  <si>
    <t>India utility solar:
$31.9–38/MWh (LCOE)
Solar+BESS: ~$54–82/MWh
(IRENA; Berkeley IECC)</t>
  </si>
  <si>
    <t>India ~$4–7/MWh
higher than China;
but globally competitive</t>
  </si>
  <si>
    <t>YES — India Cheaper</t>
  </si>
  <si>
    <t>India utility-scale solar LCOE: $31.9/MWh (Rs 2.5/kWh) — lowest among major global economies as of early 2025 (Berkeley IECC / BNEF May-2025). Battery pack prices reached ~$60/kWh for Indian developers (Apr-2025). IRENA (2025): firm solar+storage LCOE = $54–82/MWh in high-irradiance regions globally. IEEFA: solar+BESS LCOE at Rs 3.5/kWh by 2030 — cheaper than coal (pithead Rs 4.8/kWh). Wood Mackenzie (2025): India utility solar LCOE $38/MWh. China LCOE: $27–33/MWh (Wood Mackenzie Dec-2025). IRENA global benchmark: $43/MWh. DCR projects cost 37–38% more than Chinese module-based projects (Mercom Q4-2025 Mar-2026). Sources: Berkeley IECC May-2025; IRENA 2025; Wood Mackenzie Dec-2025; IEEFA; Mercom Mar-2026.</t>
  </si>
  <si>
    <t xml:space="preserve">Module Price Comparison </t>
  </si>
  <si>
    <t xml:space="preserve">notes/sources </t>
  </si>
  <si>
    <t>Barrier</t>
  </si>
  <si>
    <t>Basic Customs Duty (BCD)</t>
  </si>
  <si>
    <t>ALMM List-I (Modules)</t>
  </si>
  <si>
    <t>ALMM List-II (Cells)</t>
  </si>
  <si>
    <t>ALMM List-III (Wafers)</t>
  </si>
  <si>
    <t>DCR (Domestic Content Req.)</t>
  </si>
  <si>
    <t>Anti-Dumping Investigations</t>
  </si>
  <si>
    <t>Type</t>
  </si>
  <si>
    <t>Rate / Details</t>
  </si>
  <si>
    <t>Scope</t>
  </si>
  <si>
    <t>Effectiveness</t>
  </si>
  <si>
    <t xml:space="preserve">  INDIA TRADE BARRIERS PROTECTING DOMESTIC INDUSTRY</t>
  </si>
  <si>
    <t>Tariff / Import Duty</t>
  </si>
  <si>
    <t>Modules: 20% BCD + 20% AIDC (eff. duty ~44%)
Cells: 20% BCD + 7.5% AIDC (eff. duty ~29.5%)
Wafers: 0% BCD (input exemption)
[w.e.f. 2 Feb 2025 — Union Budget 2025-26]</t>
  </si>
  <si>
    <t>All imported solar PV modules (HS 8541 43/49) and cells (HS 8541 42); covers c-Si &amp; thin-film technologies; applied on all source countries.</t>
  </si>
  <si>
    <t>HIGH — Raises landed cost of Chinese modules by ~44%; directly steers developers to domestic supply; instrumental in pushing domestic module capacity past 100 GW nameplate.</t>
  </si>
  <si>
    <t>Non-Tariff / Procurement Regulation</t>
  </si>
  <si>
    <t>Mandatory MNRE registration; BIS IS 14286 certification required; module efficiency ≥ 20% (utility-scale Cat-I) / ≥ 19.5% (rooftop Cat-II); ~90–110 domestic manufacturers enlisted as of mid-2025; updated monthly.</t>
  </si>
  <si>
    <t>All government-funded / grid-connected solar projects under SECI, NTPC, CPSU, PM Surya Ghar, PM-KUSUM; no Chinese manufacturer on List-I; fully reinstated 1 Apr 2024 after temporary suspension.</t>
  </si>
  <si>
    <t>HIGH — Effectively bars unlisted (especially Chinese) modules from government-backed projects, which represent the bulk of India's capacity additions; underpins domestic module demand.</t>
  </si>
  <si>
    <t>First list issued 31 Jul 2025; 6th revision published Apr 2026; compliance mandatory from 1 Jun 2026; manufacturers must hold BIS certification for cells; model-specific approval required.</t>
  </si>
  <si>
    <t>All government-aided solar projects from Jun 2026 cut-off; extends ALMM mandate upstream to cell manufacturing stage; applies to c-Si (mono/multi/TopCon) cells.</t>
  </si>
  <si>
    <t>MEDIUM-HIGH (Emerging) — Nascent but rapidly ramping; forces cell-level indigenisation; significant for domestic manufacturers scaling mono PERC/TopCon capacity; long-term impact expected to be high.</t>
  </si>
  <si>
    <t>Non-Tariff / Procurement Regulation (Draft)</t>
  </si>
  <si>
    <t>Draft consultation by MNRE issued Sep 2025; framework under development; no enforcement date set yet; expected to follow ALMM List-II roll-out model.</t>
  </si>
  <si>
    <t>Proposed for solar-grade silicon wafers supplied into domestic module/cell manufacturing; aimed at further upstream indigenisation in the solar value chain.</t>
  </si>
  <si>
    <t>LOW (Currently) — Still in draft/consultation phase as of mid-2026; regulatory uptake and enforcement timeline uncertain; will be significant if enacted given India's near-zero domestic wafer capacity.</t>
  </si>
  <si>
    <t>Non-Tariff / Procurement Mandate</t>
  </si>
  <si>
    <t>100% domestic cells &amp; modules mandatory for: CPSU Phase-II (8.2 GW sanctioned), PM-KUSUM Components B &amp; C (~20.8 GW target), PM Surya Ghar Muft Bijli Yojana; no VGF/subsidy disbursed for non-DCR projects; enforced via SECI/IREDA site inspections.</t>
  </si>
  <si>
    <t>Government-subsidised / VGF-backed solar projects; not applicable to private/merchant plants; combined addressable demand ~36.8 GW; WTO-compliant design post-2018 dispute findings.</t>
  </si>
  <si>
    <t>HIGH — Creates guaranteed captive market for domestic PV manufacturers; ~36.8 GW of pipeline requiring DCR-compliant cells &amp; modules; effectively isolates a large market segment from imported competition.</t>
  </si>
  <si>
    <t>RLMM / ALMM (Wind turbines)</t>
  </si>
  <si>
    <t>Non-Tariff / Quality &amp; Procurement Regulation</t>
  </si>
  <si>
    <t>Renamed to ALMM (Wind) vide MNRE OM dated 31 Jul 2025; SOP issued 29 Oct 2025; mandatory use of ALMM-listed blades, towers, gearboxes, generators, and special bearings; hub/nacelle mfg must be in India; R&amp;D/data centres to be India-located; covers WTGs up to 5.2 MW; ~14 OEMs active; domestic capacity ~18,000 MW/yr.</t>
  </si>
  <si>
    <t>All wind power projects (new tenders from Jul 2025 onwards); exemption for already-bid projects and captive/C&amp;I projects commissioning within 18 months of 31 Jul 2025; applies to WTG OEMs and key component manufacturers.</t>
  </si>
  <si>
    <t>HIGH — ~70-80% indigenisation already achieved in wind; ALMM (Wind) tightens component-level sourcing requirements, limits Chinese OEM/component entry, and adds cybersecurity obligations; strengthens domestic supply chain.</t>
  </si>
  <si>
    <t>Trade Remedy / Anti-Dumping Duty</t>
  </si>
  <si>
    <t>DGTR Final Findings (Oct 2025): Recommended ADD of up to 30% (3-year duration) on Chinese c-Si solar cells &amp; modules (monocrystalline, multi, TopCon, thin-film); treated as single product. Also: ADD on EVA sheets ($537–$1,559/tonne) from China, Malaysia, Saudi Arabia, Thailand (5-yr term). Finance Ministry notification pending for solar cells/modules ADD as of mid-2026.</t>
  </si>
  <si>
    <t>All imports of solar cells whether assembled into modules or sold individually from China PR; c-Si and thin-film technologies; private and public projects (unlike DCR which covers only subsidised schemes); covers direct and trans-shipped product.</t>
  </si>
  <si>
    <t>MEDIUM (Pending) — DGTR recommendation issued; final Finance Ministry notification and rate fixation awaited; if levied, would materially raise cost of Chinese cells above BCD+AIDC levels, closing the price arbitrage window; market pricing in high probability of imposition.</t>
  </si>
  <si>
    <t>Sources &amp; References: Union Budget 2025-26 (MoF Notification 4/2025 &amp; 6/2025 dated 1 Feb 2025) | MNRE ALMM Order 2019 &amp; List-I/II/III updates (mnre.gov.in) | DGTR Final Findings on Solar Cells Anti-Dumping (Oct 2025) | IEA Policy Database | Mercom India | PV Magazine India | JMK Research (Feb 2022) | IEEFA | Bridge to India | InfoLink Group | Hartek Solar | PVKnowhow | CPSU Phase-II Guidelines (MNRE, Mar 2019) | MNRE OM dated 31 Jul 2025 (ALMM Wind)</t>
  </si>
  <si>
    <t>Subsidy / Incentive</t>
  </si>
  <si>
    <t>Beneficiary</t>
  </si>
  <si>
    <t>Quantum</t>
  </si>
  <si>
    <t>Duration</t>
  </si>
  <si>
    <t>Impact</t>
  </si>
  <si>
    <t>PLI Scheme — Solar Modules (Tranche I + II)</t>
  </si>
  <si>
    <t>Solar PV Manufacturers</t>
  </si>
  <si>
    <t>₹24,000 Cr total outlay (₹4,500 Cr T-I + ₹19,500 Cr T-II); graded production-linked incentive disbursed over 5 years post-commissioning; T-I: 8,737 MW (3 awardees); T-II: 39,600 MW (11 awardees); operational capacity as of Jun 2025: 18.5 GW modules, 9.7 GW cells, 2.2 GW ingot-wafer under PLI</t>
  </si>
  <si>
    <t>5 yrs post-commissioning (ongoing)</t>
  </si>
  <si>
    <t>HIGH — 48.3 GWp capacity awarded; cumulative installed module capacity reached 91.6 GW (Jun 2025); solar module imports fell from $3.36B (FY22) to $2.15B (FY25); first PLI scheme to drive wafer/cell upstream capacity in India.</t>
  </si>
  <si>
    <t>PM Surya Ghar — Consumer Subsidy</t>
  </si>
  <si>
    <t>Residential Buyers</t>
  </si>
  <si>
    <t>Up to ₹78,000/household (₹30K for 1 kW; ₹60K for 2 kW; ₹78K for 3 kW cap); 60% CFA on cost for ≤2 kW systems; 40% CFA on additional cost for 2–3 kW; state top-ups available (e.g. Delhi adds ₹30K → total ₹1.08L); collateral-free loans up to ₹2L @6.75% via 12 PSBs; total scheme outlay ₹75,021 Cr</t>
  </si>
  <si>
    <t>Ongoing (target: 1 Cr households by Mar 2027)</t>
  </si>
  <si>
    <t>MEDIUM (Scaling) — 23+ lakh installations by Dec 2025; 4,946 MW rooftop capacity added by Jul 2025; ₹14,771 Cr CFA disbursed to Dec 2025; installation pace ~70K/month must accelerate 10x to meet 1 crore target by Mar 2027.</t>
  </si>
  <si>
    <t>GST Reduction on RE Equipment</t>
  </si>
  <si>
    <t>Buyers / Project Developers</t>
  </si>
  <si>
    <t>GST on solar cells/modules (HS 8541) cut from 12% to 5%, effective 22 Sep 2025; uniform 5% also on other RE devices &amp; parts; EPC contracts taxed under 70:30 valuation rule → effective ~8.9% blended GST on full project cost; installation/civil works @ 18%</t>
  </si>
  <si>
    <t>Effective 22 Sep 2025 (ongoing)</t>
  </si>
  <si>
    <t>MEDIUM — Reduces project CapEx by ~3–4% on equipment; ₹7K savings per ₹10L contract vs pre-Sep 2025; directly lowers LCOE for C&amp;I and rooftop solar; complements BCD restructuring; cited by Waaree CEO as strengthening investment case.</t>
  </si>
  <si>
    <t>Accelerated Depreciation (AD)</t>
  </si>
  <si>
    <t>C&amp;I Solar Asset Owners</t>
  </si>
  <si>
    <t>40% depreciation in Year 1 on WDV basis under Income Tax Act; additional 20% depreciation claimable in certain cases; combined with GST ITC (on business-use installations), effective capital cost reduction of ~30–40%; applicable to solar power generating systems listed as eligible asset category</t>
  </si>
  <si>
    <t>Ongoing (permanent provision under IT Act)</t>
  </si>
  <si>
    <t>HIGH — Significantly shortens payback period for C&amp;I buyers (typically 4–6 yrs → 3–4 yrs); improves Year 1 IRR by 3–5%; major driver of captive solar adoption in industrial/commercial sector; widely used by large power consumers to optimise tax efficiency.</t>
  </si>
  <si>
    <t>PM-KUSUM (Agriculture)</t>
  </si>
  <si>
    <t>Farmers / State Govts</t>
  </si>
  <si>
    <t>Component A: Ground-mounted solar plants (no DCR mandate); Component B: 2 million standalone solar pumps (60% subsidy, DCR mandatory); Component C: Solarisation of 1.5M grid-connected agri pumps (60% subsidy, DCR mandatory); total scheme target: 30.8 GW by 2026; VGF support from GoI + state co-funding; SECI/IREDA implementing agencies</t>
  </si>
  <si>
    <t>Extended to 2026 (Components B &amp; C reviewed annually)</t>
  </si>
  <si>
    <t>HIGH — 7.5M pump target creates ~20.8 GW captive DCR demand; largest single driver of domestic cell/module offtake; supports farm income via surplus solar export; however, execution pace lags — DCR cell waiver extended under Component C pending ALMM List-II ramp-up.</t>
  </si>
  <si>
    <t>Viability Gap Funding (VGF)</t>
  </si>
  <si>
    <t>Developers in Remote / Difficult Areas</t>
  </si>
  <si>
    <t>Capital grant disbursed as VGF to bridge financial viability gap; CPSU Phase-II: max VGF of ₹0.55 Cr/MW (third tranche); bidding parameter is VGF amount; disbursed in 2 tranches (50% at commissioning, 50% after 1 yr of operation); ₹8,580 Cr total VGF provision for CPSU Phase-II (8.2 GW sanctioned)</t>
  </si>
  <si>
    <t>Project-specific (CPSU Phase-II ongoing)</t>
  </si>
  <si>
    <t>MEDIUM — Enables projects in remote/high-cost geographies that would otherwise be unviable; 8.2 GW sanctioned under CPSU Phase-II; enforces DCR and ALMM compliance; limited to government/PSU-owned generation, reducing its broader market reach.</t>
  </si>
  <si>
    <t>IREDA / PFC Concessional Loans</t>
  </si>
  <si>
    <t>Project Developers / Manufacturers</t>
  </si>
  <si>
    <t>IREDA: project finance at ~9–11% p.a. (vs market 12–14%); concessional rates for PM-KUSUM/CPSU/rooftop schemes; rebates of 0.25–0.50% for NE states, SC/ST entrepreneurs, post-COD performance; PFC: additional 10 bps rebate for ≥75% domestic content; tenures up to 18–25 years; IREDA also finances solar manufacturing (PLI beneficiaries, cell/module plants)</t>
  </si>
  <si>
    <t>Ongoing (rates reset periodically)</t>
  </si>
  <si>
    <t>MEDIUM-HIGH — Reduces project WACC by ~150–200 bps vs commercial bank rates; critical for large utility-scale projects (&gt;100 MW) where financing cost is 30–40% of LCOE; IREDA loan book crossed ₹68,000 Cr in FY25; PFC domestic-content rebate incentivises DCR adoption.</t>
  </si>
  <si>
    <t>ITC / PTC / 45X (USA — for Indian exporters with US plants)</t>
  </si>
  <si>
    <t>Indian Mfrs with US Plants (Waaree, Premier Energies, Vikram Solar)</t>
  </si>
  <si>
    <t>Pre-OBBBA: 30% ITC (Sec 48E) + 45X Advanced Manufacturing Credit (~$0.07/W for modules); Post-OBBBA (signed Jul 4, 2025): ITC/PTC terminated for wind/solar placed in service after Dec 31, 2027 unless construction begins by Jul 4, 2026; 45X credit retained but phased down from 2030; domestic content adder threshold raised to 45% (2025), 50% (2026), 55% (post-2026)</t>
  </si>
  <si>
    <t>ITC/PTC: expires post-2027 (OBBBA); 45X: through ~2032 with phase-down</t>
  </si>
  <si>
    <t>HIGH (Time-sensitive) — Waaree Texas (3.2 GW capacity, $1B+ investment) and other Indian-origin US plants built primarily to capture ITC/45X credits; OBBBA creates urgency to begin construction by Jul 2026; Waaree secured 1.2 GW+ US orders in Q1 FY26; anti-dumping investigation risk adds uncertainty.</t>
  </si>
  <si>
    <t>SUBSIDIES SUPPORTING DOMESTIC SOLAR INDUSTRY</t>
  </si>
  <si>
    <t>Section</t>
  </si>
  <si>
    <t>Company</t>
  </si>
  <si>
    <t>Correction Required</t>
  </si>
  <si>
    <t>Verified Source / Notes</t>
  </si>
  <si>
    <t>Waaree Energies</t>
  </si>
  <si>
    <t>Module capacity is now 20.17 GW India (20+ GW total domestic, 22.77 GW globally incl. 2.6 GW US). Cell capacity: 5.4 GW at Chikhli, Gujarat — CORRECT. Location should include Chikhli, Gujarat as primary new plant. Capacity figure of 16.7 GW was outdated (pre-Dec 2025 update).</t>
  </si>
  <si>
    <t>PV Magazine India, Dec 31 2025 — Chikhli plant ALMM approved at 16.444 GW; total India capacity = 20.17 GW</t>
  </si>
  <si>
    <t>Adani Solar (Mundra SEZ)</t>
  </si>
  <si>
    <t xml:space="preserve"> As of mid-2026, Adani's Mundra facility has 7 GW module + 4 GW cell capacity (2 GW PERC + 2 GW TOPCon). Expanding to 10 GW cells+modules by end-2026. Technology note should add HJT modules (Shine series) — not just Mono PERC/TOPCon.</t>
  </si>
  <si>
    <t>Loop Solar (Authorized Dealer) Jun 2026; PV Magazine India Oct 2024 — 4 GW cells confirmed; 7 GW modules mid-2026</t>
  </si>
  <si>
    <t>Goldi Solar</t>
  </si>
  <si>
    <t>Goldi Solar's capacity target is 14 GW by 2026 per company announcement, though ALMM-listed capacity as at the document date may be ~3 GW. The 3.2 GW figure appears slightly high vs most reports citing '3 GW'. Verify current ALMM-listed capacity at mnre.gov.in — likely 3 GW not 3.2 GW.</t>
  </si>
  <si>
    <t>Orient Solar / Goldi Solar company announcements; ALMM portal (3 GW cited in multiple sources)</t>
  </si>
  <si>
    <t>Saatvik Green Energy</t>
  </si>
  <si>
    <t>Saatvik Green Energy is headquartered in Ambala, Haryana — not Noida, UP. They have offices in Noida but the manufacturing facility is in Ambala.</t>
  </si>
  <si>
    <t>Orient Solar Top-25 ALMM article 2025; company website — Ambala, Haryana</t>
  </si>
  <si>
    <t>RenewSys India</t>
  </si>
  <si>
    <t>RenewSys's encapsulant role is correct. However, in May 2026 MNRE updated ALMM List-II for cells to ADD RenewSys as a cell manufacturer — elevating it beyond just 'Supplier' status. This is a material development not captured in the image.</t>
  </si>
  <si>
    <t>SaurEnergy May 2026: MNRE Updates ALMM for Cells, Adds RenewSys</t>
  </si>
  <si>
    <t>Pahal Solar</t>
  </si>
  <si>
    <t>Module capacity grew to 3 GW (ALMM approved Feb 7, 2026). Cell plant ground-breaking was Oct 27-28, 2025 (correct). Cell plant WIP target: late 2026 commission. Efficiency shown as 24-25% is aspirational for TOPCon cells under construction — not yet in production.</t>
  </si>
  <si>
    <t>PV Magazine Feb 10 2026; SolarQuarter Oct 28 2025; IndexBox Feb 2026</t>
  </si>
  <si>
    <t>General — Number of approved manufacturers</t>
  </si>
  <si>
    <t>By Feb 2026 ALMM List-II had 10 manufacturers with 26,790 MW combined capacity. By June 2026 this number has grown further (7th revision released May 2026). The image significantly understates the number of approved cell makers.</t>
  </si>
  <si>
    <t>Energetica India Feb 5 2026; Mercom India Feb 6 2026; SaurEnergy May 2026 (7th revision)</t>
  </si>
  <si>
    <t>Adani Solar</t>
  </si>
  <si>
    <t>Adani's ALMM List-II approved cells are Mono PERC (1,939 MW) and TOPCon (1,893 MW) — NOT HJT. HJT is used for Reliance's Jamnagar plant. TOPCon efficiency is 25.27% per MNRE listing — significantly higher than '22-23%'. Total approved cell capacity: ~4.2 GW (not 2 GW) after subsequent revisions.</t>
  </si>
  <si>
    <t>PV Magazine India Aug 5 2025; Mercom India Jul 31 2025; Energetica India Feb 2026 — Adani 4,237 MW total</t>
  </si>
  <si>
    <t>cell capacity (5.4 GW). ALMM List-II entry: 1,328 MW PERC + 3,923 MW TOPCon = 5,251 MW enlisted (slightly less than total capacity of 5.4 GW). Efficiency range per ALMM: 22.00-23.70% for PERC, ~24% for TOPCon — so '22%' is the floor, not average.</t>
  </si>
  <si>
    <t>Energetica India Dec 16 2025; SaurEnergy May 2026 ALMM update</t>
  </si>
  <si>
    <t>Pahal Solar's 2 GW cell plant is UNDER CONSTRUCTION (WIP) — commissioned late 2026. It is NOT yet ALMM List-II approved as of June 2026. Status should be 'Pending / WIP', not 'Yes'.</t>
  </si>
  <si>
    <t>PV Magazine Feb 10 2026; ProjectX India Mar 2026 — target commission late 2026</t>
  </si>
  <si>
    <t>Missing manufacturers</t>
  </si>
  <si>
    <t>Tata Power (TP Solar 4,480 MW + TPREL 280 MW = 4,813 MW), Emmvee (1,553 MW TOPCon), ReNew PV (1,766 MW PERC), Jupiter International (779 MW), Websol Energy (602 MW), Evervolt Solar (1,074 MW) are all APPROVED in List-II. These are NOT 'TBD'.</t>
  </si>
  <si>
    <t>PV Tech Sep 26 2025; Energetica India Dec 2025; Mercom India Feb 2026</t>
  </si>
  <si>
    <t>General — Trigger threshold</t>
  </si>
  <si>
    <t xml:space="preserve"> The 15 GW threshold across at least 3 independent manufacturers is accurate per MNRE draft.</t>
  </si>
  <si>
    <t>PV Tech Sep 18 2025 — confirmed ≥15 GW trigger threshold</t>
  </si>
  <si>
    <t>Waaree's wafer plant is now confirmed at Butibori, Nagpur (Maharashtra) — NOT Gujarat. 10 GW wafer-ingot capacity, ₹6,200 crore investment. Ground-breaking: March 14, 2026. FY27 target = FY2026-27 (by March 2027) — this appears ambitious; more realistic is FY28. 'Board approved Jul 2025' should be updated to 'Ground-breaking March 2026'.</t>
  </si>
  <si>
    <t>BusinessToday Mar 20 2026; Whalesbook Mar 2026 — Butibori, Nagpur confirmed</t>
  </si>
  <si>
    <t>Adani New Industries</t>
  </si>
  <si>
    <t xml:space="preserve"> Adani already has 2 GW wafer/ingot in COMMERCIAL PRODUCTION at Mundra (started Apr 2024) — first in India. The 10 GW expansion plan is correct. 'Under Construction' is misleading; partial capacity is already operational. Polysilicon production target: 2027/28. The image incorrectly treats the entire 10 GW as 'planned'.</t>
  </si>
  <si>
    <t>Reuters Apr 7 2024; PV Tech Apr 8 2024 — 2 GW commercial production confirmed</t>
  </si>
  <si>
    <t>Reliance Industries (New Energy)</t>
  </si>
  <si>
    <t xml:space="preserve"> Reliance has ALREADY delivered first solar modules from Jamnagar (June 2026). Status is NO LONGER 'planning/early stage'. Cell manufacturing, modules, HJT cells all in ramp-up. Ingots/wafers being rolled out in phases. 10 GW initial target (not 20 GW for wafers alone). Reliance is also NOW on ALMM List-II for HJT cells (1,238 MW, 25.4-25.6% efficiency).</t>
  </si>
  <si>
    <t>Daily Pioneer Jun 2026; Mercom India Sep 2025; SaurEnergy Jun 2026 — modules being commissioned</t>
  </si>
  <si>
    <t>Others</t>
  </si>
  <si>
    <t>India's polysilicon self-sufficiency is near-zero currently. However, Adani aims for polysilicon by 2027/28 and Reliance's Jamnagar complex has polysilicon in its masterplan. This note is accurate as of 2025 but will change.</t>
  </si>
  <si>
    <t>Reuters Apr 2024; RIL Jamnagar masterplan documents</t>
  </si>
  <si>
    <t xml:space="preserve">ALMM DATA </t>
  </si>
  <si>
    <t>sr no</t>
  </si>
  <si>
    <t>Potential unlisted which is doing good Pahal Solar  - Manufacturing Capacity 2gw india's first AI Based solar pv module manufacturing so use Ai is not only hype reason why it required :- Catch sub-millimetre micro-cracks at 3,000+ modules/hour
Reduce false rejection rates by 30-50% vs rule-based systems
Flag emerging defect patterns before they become systemic line problems</t>
  </si>
  <si>
    <t>net supply is =150*40%=60 and india export 15 GW and other 45-50 GW is domestic supply</t>
  </si>
  <si>
    <t>Potential Unlisted companies May they Planning To go for IPO or maybe big players acquire them in future:- 1.SolarSquare- B+ Analyst Grade Market timing is near-perfect. PM Surya Ghar is the strongest residential solar tailwind India has ever seen — subsidy of ₹78,000 per home, 1 crore target, 40 lakh pending applications. SolarSquare is the best-positioned organised player to capture this.
Only 5% penetration of addressable market. ~70 million solarisable homes in India, barely 3.8 million installed. The runway is 15–20 years long.
D2C moat in a fragmented market. The rooftop solar space is dominated by small, unreliable local dealers. SolarSquare's branded, fixed-price, end-to-end model (install + finance + O&amp;M) is structurally superior and builds trust — the scarcest commodity in this market.
Revenue 4.5x in 4 years. ₹81 Cr in FY22 → ₹364 Cr in FY25 → ₹1,000 Cr ARR in 2026. This is real top-line compounding, not rounding-error growth.
Tier-1 investor roster. Lightspeed (through its growth fund — same fund that backed Razorpay and Zepto), Lightrock, Elevation Capital, Lowercarbon, Rainmatter (Zerodha). These are not tourist investors.
Acquisition target for large energy players. Tata Power, Adani, NTPC all want residential distribution. SolarSquare's brand, 50,000-home installed base, and city-level ops infrastructure would cost far more to build than to buy.</t>
  </si>
  <si>
    <r>
      <t>Reason Behind why capacity utilisation drop from 90% to 45-50%:</t>
    </r>
    <r>
      <rPr>
        <sz val="11"/>
        <color theme="1"/>
        <rFont val="calibri"/>
        <family val="2"/>
      </rPr>
      <t>1)The PLI scheme worked almost too well. India's solar module manufacturing capacity nearly doubled from 38 GW in March 2024 to 74 GW in March 2025, and by end-2025 it exceeded 144 GW. When capacity was ~38 GW and domestic demand was ~25–30 GW, utilisation sat comfortably at 80–90%. But the arithmetic broke when capacity tripled in 18 months while demand grew only linearly. India's module manufacturing capacity surpassed 125 GW, more than triple the domestic market demand of around 40 GW, leading to an inventory buildup of 29 GW by Q3 2025 — unsold modules sitting in warehouses.  2)India had built an export-dependent growth model. The US market accounted for nearly 97% of Indian solar module shipments in 2024 (4.3 GW). That single-market concentration became a fatal vulnerability. New 50% reciprocal tariffs imposed by the United States caused module exports to the US to fall 52% in the first half of 2025 compared to the same period in 2024. Then it got worse — Indian solar manufacturers were hit with a 126% US tariff following a complaint by the Alliance for American Solar Manufacturing and Trade (AASMT), alleging unfair government subsidies. That effectively shut the door. Those 4+ GW of exports previously going to the US got redirected to a domestic market already struggling to absorb supply, deepening the utilisation crash</t>
    </r>
  </si>
  <si>
    <t xml:space="preserve"> 4)The US Department of Commerce imposed a preliminary anti-dumping duty of 123.04% on solar cell and module imports from India, concluding that Indian solar products were being sold in the US market below fair value. The US authorities also invoked the 'critical circumstances' provision, allowing duties to be applied retroactively on imports made up to 90 days prior to the preliminary ruling. Ireda
Adani's Mundra Solar PV and Premier Energies were named as primary respondents with specific duty rates; Waaree Energies and Vikram Solar fell under the 'all-others' category subject to the standardised 123% rate. Ireda The combined effective tariff burden: ~234%+ (CVD ~126% + ADD ~123% + pre-existing 50% reciprocal tariff.                                                                                                                                           3)The US Department of Commerce imposed preliminary countervailing duties of approximately 125.87% on Indian solar cells to offset alleged government subsidies — including export incentives, state-level industrial policies, preferential financing, and cross-border input subsidies involving China. The investigation found India exported 2.3 billion watts ($792.6 million) of solar cells to the US in 2024 alone.                                                                                           5) OBBBA Tax Credit Sunset + PFE Rules (July 2025)
Even Waaree's Texas plant — its supposed safe harbour — came under attack. The OBBBA enacted July 4, 2025 introduced "Prohibited Foreign Entity" (PFE) restrictions on claiming 45X and 48E tax credits, targeting companies with excessive Chinese ownership, debt, or management involvement. Since Waaree's cell supply chain still relied heavily on Chinese-origin cells (the very basis of the CBP evasion allegation), its eligibility for 45X credits at the Texas plant came into direct question. The minimum required share of non-PFE material assistance was set at 60% in 2026, rising 5 percentage points per year to 85% in 2030 — a tightening noose for any manufacturer still dependent on Chinese cells. </t>
  </si>
  <si>
    <r>
      <t>2. Tata Power Solar (TP Solar + TPREL)</t>
    </r>
    <r>
      <rPr>
        <sz val="11"/>
        <color theme="1"/>
        <rFont val="calibri"/>
        <family val="2"/>
      </rPr>
      <t xml:space="preserve"> Location: Tirunelveli, Tamil Nadu (4,533 MW) + Bengaluru, Karnataka (280 MW) Technology: Mono PERC (dominant, 4,533 MW at Tamil Nadu + 280 MW Karnataka) + small TOPCon tranche (53 MW) Cell Capacity: 4,813 MW (ALMM List-II, 2nd revision, Sep 2025) Cell Efficiency: PERC average 23.25%; TOPCon 23.3% Notes: Second largest ALMM List-II player. Tata Power's enlisted cell capacity comprises 4,533 MW in Tirunelveli, Tamil Nadu and 280 MW in Bengaluru, Karnataka. PERC-heavy portfolio is the key technology risk for this company.</t>
    </r>
  </si>
  <si>
    <r>
      <t xml:space="preserve">Top 10 Cell Manufacturers — Technology, Capacity, Efficiency
</t>
    </r>
    <r>
      <rPr>
        <b/>
        <sz val="11"/>
        <color theme="1"/>
        <rFont val="calibri"/>
        <family val="2"/>
      </rPr>
      <t>1. Waaree Energies</t>
    </r>
    <r>
      <rPr>
        <sz val="11"/>
        <color theme="1"/>
        <rFont val="calibri"/>
        <family val="2"/>
      </rPr>
      <t xml:space="preserve">
Location: Degam, Chikhli, Navsari, Gujarat
Technology: TOPCon N-type (3,923 MW) + Mono PERC bifacial P-type (1,328 MW)
Cell Capacity: 5.25 GW (ALMM List-II, 3rd revision, Dec 2025)
Cell Efficiency: up to 22–24%; TOPCon average 22%
Notes: Largest cell plant in India. Fully operational 2025. Also has 2.6 GW cell capacity at Texas, USA. ALMM List-II approval covers 3,923 MW of N-type TOPCon and 1,328 MW of P-type PERC bifacial cells from its Chikhli facility.</t>
    </r>
  </si>
  <si>
    <r>
      <t>4.Premier Energies</t>
    </r>
    <r>
      <rPr>
        <sz val="11"/>
        <color theme="1"/>
        <rFont val="calibri"/>
        <family val="2"/>
      </rPr>
      <t xml:space="preserve"> Location: Hyderabad, Telangana Technology: Mono PERC (initial listing) + TOPCon N-type G12R (added subsequently, 607 MW additional) Cell Capacity: ~2.5 GW (ALMM List-II, expanded to include TOPCon model by Feb 2026) Cell Efficiency: PERC 21–22%; TOPCon up to 25.37% Notes: Premier Energies obtained clearance for an additional TOPCon cell model, expanding its approved capacity by 607 MW. The newly registered bifacial N-type TOPCon cell achieves an average efficiency of 25.37%. Recently IPO'd; vertically integrated. IPO proceeds funded cell capex.</t>
    </r>
  </si>
  <si>
    <r>
      <t>5. Reliance Industries New Energy (Dhirubhai Ambani Green Energy Giga Complex)</t>
    </r>
    <r>
      <rPr>
        <sz val="11"/>
        <color theme="1"/>
        <rFont val="calibri"/>
        <family val="2"/>
      </rPr>
      <t xml:space="preserve"> Location: Jamnagar, Gujarat Technology: HJT (Heterojunction Technology) — first HJT cell manufacturer in India Cell Capacity: 1.24 GW (ALMM List-II, 6th revision, April 2026) Cell Efficiency: up to 25.6%; zero-busbar design; roadmap targets 26.5% via perovskite tandem Notes: Reliance became the first company to secure the inclusion of HJT solar cells in ALMM List-II, marking a major milestone for India's solar manufacturing sector. Acquired REC Solar (polysilicon technology). Most ambitious long-term technology roadmap in India.</t>
    </r>
  </si>
  <si>
    <r>
      <rPr>
        <b/>
        <sz val="11"/>
        <color theme="1"/>
        <rFont val="calibri"/>
        <family val="2"/>
      </rPr>
      <t>3. Adani Solar</t>
    </r>
    <r>
      <rPr>
        <sz val="11"/>
        <color theme="1"/>
        <rFont val="calibri"/>
        <family val="2"/>
      </rPr>
      <t xml:space="preserve"> (Mundra Solar Energy + Mundra Solar PV)
Location: Mundra, Gujarat
Technology: Mono PERC bifacial (1.9 GW) + N-type TOPCon (1.9 GW) — equal split
Cell Capacity: 3.8 GW (ALMM List-II, from day one)
Cell Efficiency: PERC average 23.44%; TOPCon up to 25.27%
Notes: Adani is the solar manufacturer with the most annual nameplate capacity among the original six manufacturers, with 3.8 GW split almost evenly between PERC cells and TOPCon cells. Expanding to 10 GW integrated by end-2026. Also has 2 GW ingot/wafer capacity operational since April 2024 — only manufacturer with meaningful upstream integration.</t>
    </r>
  </si>
  <si>
    <r>
      <rPr>
        <b/>
        <sz val="11"/>
        <color theme="1"/>
        <rFont val="calibri"/>
        <family val="2"/>
      </rPr>
      <t>US Countermeasures Against Foreign country</t>
    </r>
    <r>
      <rPr>
        <sz val="11"/>
        <color theme="1"/>
        <rFont val="calibri"/>
        <family val="2"/>
      </rPr>
      <t xml:space="preserve">:1)The Alliance for American Solar Manufacturing and Trade (AASMT) — comprising First Solar, Mission Solar Energy, Qcells, and Talon PV Solar Solutions — filed a petition seeking anti-dumping and countervailing duty investigations into solar imports from India, Indonesia, and Laos. The petition alleged a dumping margin of 213.96% for Indian imports. Waaree was named directly. Pfcindia
Waaree denied the allegations and CEO Amit Paithankar told Reuters: "We do not follow any predatory price practices, and therefore as these investigations go through, we stand in a position of strength." The company said it had received 2.23 GW of orders from the US.         2)This was the more dangerous blow. US Customs and Border Protection investigated Waaree Solar Americas for allegedly evading US AD/CVD duties by mislabelling Chinese solar modules as Indian-manufactured. The AASMT complaint alleged Waaree shipped over 5.4 million kg of modules to the US in 2024, and stressed that India's imports of Chinese CSPV cells surged 600% from 2022 to 2024, while Waaree lacked local cell capacity during that period. 
The logic of the allegation: if Waaree was assembling modules in India using Chinese cells and shipping them to the US as "Made in India," it was effectively transshipping Chinese content to circumvent the heavy AD/CVD duties already placed on Chinese solar. US Customs demanded cash deposits from Waaree while the investigation continued, and Waaree's shares fell 8% on the news. 
Waaree stated the investigation would not impact its investment plans and reiterated its commitment to following all applicable international trade regulations.                                      3)The US Department of Commerce imposed preliminary countervailing duties of approximately 125.87% on Indian solar cells to offset alleged government subsidies — including export incentives, state-level industrial policies, preferential financing, and cross-border input subsidies involving China. The investigation found India exported 2.3 billion watts ($792.6 million) of solar cells to the US in 2024 alone.                                             </t>
    </r>
  </si>
  <si>
    <t>Headwind Analysis by Technology
Headwind 1 — Chinese cell price gap (Severity: HIGH)
As of October 2025, Chinese solar cells were priced at $0.042/Wp. After adding 20% BCD and 7.5% AIDC, the landed cost rises to $0.053/Wp. Domestic solar cells were priced around $0.077/Wp, making them 45% more expensive. Press Information Bureau
Where it hits by technology:
PERC is most exposed — Chinese PERC cell manufacturing is at maximum scale and lowest cost. The 45% premium is hardest to absorb in a commodity technology with no differentiation lever. Tata Power Solar (4.5 GW PERC), ReNew PV, and Jupiter are the most vulnerable.
TOPCon gap is narrowing — the spot price gap between Indian and Chinese TOPCon modules has narrowed from $0.09/W to $0.057/W between early 2024 and October 2025, driven by automation and scale. Indian TOPCon manufacturers have a realistic path to parity by 2027–28.
CdTe (First Solar) is fully insulated — zero Chinese CdTe competition globally.
HJT (Reliance) is currently insulated by novelty but faces the steepest cost reduction challenge long term.</t>
  </si>
  <si>
    <t>Headwind 2 — PERC technology obsolescence (Severity: HIGH)
Chinese manufacturers have already made the transition to N-type at scale, with TOPCon now accounting for the majority of new capacity additions in China at efficiency levels exceeding 24% in commercial production. Indian manufacturers face a choice: invest in N-type transition now while P-type equipment depreciation is not yet complete, or wait and risk falling behind on efficiency competitiveness. PV Magazine India
Where it hits by technology:
PERC players — Tata Power Solar (4.5 GW PERC cells), ReNew PV (1.77 GW), Jupiter (779 MW) — face asset stranding risk if they do not retrofit. Retrofitting PERC lines to TOPCon costs approximately $0.10–0.15/W in capex.
TOPCon manufacturers (Emmvee, Waaree, Premier Energies, Adani's TOPCon lines) are ahead of the curve.
HJT (Reliance) skips the PERC-to-TOPCon transition entirely but faces its own learning curve.</t>
  </si>
  <si>
    <t>Headwind 3— ALMM List-II compliance cost premium (Severity: MEDIUM)
Modules made with domestic cells will cost 3–4 cents per watt more than those made with imported cells. This affects all government project developers who must now source ALMM List-II compliant cells from June 2026. The Grew Solar
Where it hits by technology:
PERC-based modules carry the highest premium over Chinese equivalents — widest cost gap.
TOPCon-based modules carry a narrower and shrinking premium.
The premium disproportionately affects mid-tier module makers who are not vertically integrated and must buy domestic cells from the ALMM List-II suppliers at above-market prices.</t>
  </si>
  <si>
    <t>FY24
(Act)</t>
  </si>
  <si>
    <t>FY25
(Verified)</t>
  </si>
  <si>
    <t>FY28P</t>
  </si>
  <si>
    <t>Notes / Source (Verified June 2026)</t>
  </si>
  <si>
    <t>30+</t>
  </si>
  <si>
    <t>Private / Listed
(NSE/BSE)</t>
  </si>
  <si>
    <t>India #1. FY25: 20.17 GW India (Chikhli 16.44 GW ALMM Dec 2025 + Indosolar); +2.6 GW US = 22.77 GW global. 3 GW Samakhiali commissioned Apr 2026 → 23 GW India. FY27P: 28.4 GW per company guidance (Waaree 2.0 plan). US expansion: 1.6 GW operational + 2.6 GW in 6 months → 4.2 GW US. Acquired Meyer Burger US HJT line (1 GW).
Source: PV Magazine Dec 31 2025; Scanx/Waaree FY26 earnings May 2026; Equitymaster Apr 2026</t>
  </si>
  <si>
    <t>Private /
Adani Group</t>
  </si>
  <si>
    <t>FY25: Capacity ~6 GW (ramp through 2025). FY26E: 7 GW modules operational mid-2026. Target: 10 GW cells+modules by end-2026. Wafer/ingot 2 GW in commercial production since Apr 2024 (India's first). Corrected: polysilicon-to-module integration partially operational, not just planned.
Source: Loop Solar Jun 2026; PV Magazine India Oct 2024; Reuters Apr 2024</t>
  </si>
  <si>
    <t>Tata Power Solar</t>
  </si>
  <si>
    <t>Listed / Tata</t>
  </si>
  <si>
    <t>Bengaluru + Tamil Nadu. Strong EPC + rooftop brand. ALMM List-II: 4,813 MW cells (TP Solar 4,533 MW + TPREL 280 MW) approved Sep 2025.
Source: PV Tech Sep 26 2025; Energetica India</t>
  </si>
  <si>
    <t>First Solar India</t>
  </si>
  <si>
    <t>US-Listed (FSLR)</t>
  </si>
  <si>
    <t>CdTe thin-film; ALMM List-I &amp; II approved. ALMM List-II cells: 3,433 MW (expanded from 3,212 MW Feb 2026). Global capacity: ~21 GW (Sep 2024 post-Alabama); Louisiana adds ~3.5 GW H2 2025 → US ~14 GW. India plant flat 3.2 GW. FY28P 4.4 GW not publicly confirmed for India specifically.
Source: Solar Power World Sep 2024; Wikipedia First Solar Mar 2026; MNRE ALMM Feb 2026</t>
  </si>
  <si>
    <t>Vikram Solar</t>
  </si>
  <si>
    <t>Recently Listed
(NSE/BSE IPO Dec 2025)</t>
  </si>
  <si>
    <t>Private (Pre-IPO)</t>
  </si>
  <si>
    <t>Premier Energies</t>
  </si>
  <si>
    <t>Recently Listed
(NSE/BSE)</t>
  </si>
  <si>
    <t>Reliance New Energy</t>
  </si>
  <si>
    <t>Listed / RIL</t>
  </si>
  <si>
    <t>Private</t>
  </si>
  <si>
    <t>BHEL</t>
  </si>
  <si>
    <t>PSU / Listed</t>
  </si>
  <si>
    <t>CPSU preferred supplier; govt-backed. Crystalline Si technology.
Source: MNRE ALMM List-I; BHEL annual report</t>
  </si>
  <si>
    <t>Others (100+ ALMM firms)</t>
  </si>
  <si>
    <t>Various</t>
  </si>
  <si>
    <t>Fragmented long-tail. Includes Pahal Solar (3 GW modules, ALMM List-I Feb 2026), Jupiter International (Baddi, HP), Emmvee (3-5 GW, Bengaluru), ReNew PV (Gujarat), Websol, Evervolt, etc.
Source: MNRE ALMM List-I; BusinessToday Mar 2026 (174 GW total India)</t>
  </si>
  <si>
    <t>~6</t>
  </si>
  <si>
    <t>16+</t>
  </si>
  <si>
    <t>18+</t>
  </si>
  <si>
    <t>11.1+</t>
  </si>
  <si>
    <t>13+</t>
  </si>
  <si>
    <t>INDIA TOTAL (ALMM Listed)</t>
  </si>
  <si>
    <t>~41</t>
  </si>
  <si>
    <t>~174★
(Mar 2026)</t>
  </si>
  <si>
    <t>~195</t>
  </si>
  <si>
    <t>~220</t>
  </si>
  <si>
    <t>—</t>
  </si>
  <si>
    <t xml:space="preserve"> FY24 was 3.5 GW (not 1.5 GW). FY25: 4.5 GW (1 GW Falta expansion Feb 2025). FY26E: 9.5 GW (5 GW Vallam, Tamil Nadu commissioned Dec 31 2025). FY27P: 15.5 GW (11 GW more Tamil Nadu planned). FY28P: 17.5 GW (module target per PL Capital). IPO subscribed 54.63x in Dec 2025. Listed on NSE/BSE.
Source: PV Magazine Feb 2025; Business Standard Dec 31 2025; Whalesbook Apr 2026; PL Capital Dec 2025</t>
  </si>
  <si>
    <t xml:space="preserve"> FY24 = 3 GW (Pipodara + Navsari). FY25: ~8 GW (rapid expansion). FY26E: 14.7 GW operational per company statement (TOPCon &gt;10 GW of this). Cell plant: 1.2 GW Phase-1 TOPCon targeted by Mar 2026; eventual 17.2 GW cell target. Backed by Havells + Nikhil Kamath. IPO expected from Apr 2026 onward.
Source: PV Tech Oct 2024; SaurEnergy Nov 2025; Tribune India (14.7 GW confirmed)</t>
  </si>
  <si>
    <t xml:space="preserve"> FY25: 5.4 GW (not 3.5 GW). FY26 (Mar 2026): 11.1 GW modules commissioned. FY26 PAT ₹15,097 mn (+61% YoY). Cell capacity: 3.6 GW actual Mar 2026; targeting 10.6 GW by Sep 2026. FY27 capex: ₹51 bn (~$530 mn). Diversifying into BESS, inverters, transformers.
Source: Energetica India May 19 2026; Business Standard Dec 2025; SaurEnergy May 2026</t>
  </si>
  <si>
    <t xml:space="preserve"> FY25=0 wrong — first 200 MWp HJT modules delivered Sep 2025. Jamnagar Giga Complex (5,000 acres): 10 GW target, scalable to 20 GW. Technology: HJT (720W modules, 10% higher yield). ALMM List-II: 1,238 MW HJT cells (highest efficiency 25.4-25.6%). Capex: Rs 75,000 cr (~$9B, not $10B). End-to-end: polysilicon→ingot→wafer→cell→module.
Source: Mercom India Sep 2025; Energetica India May 29 2026; Millennium Post Jun 2026</t>
  </si>
  <si>
    <t xml:space="preserve"> Ambala, Haryana (NOT UP). Growing capacity; export focus.
Source: Company website; industry sources</t>
  </si>
  <si>
    <t xml:space="preserve"> 174 GW modules + 27 GW cells as of March 2026 (MNRE via BusinessToday Mar 20 2026). Original 101.6 GW was mid-2025 snapshot — significantly outdated.
Source: BusinessToday Mar 20 2026 citing MNRE; SaurEnergy 2026</t>
  </si>
  <si>
    <t>Technology</t>
  </si>
  <si>
    <t>ALMM-II
Status</t>
  </si>
  <si>
    <t>TOPCon + PERC</t>
  </si>
  <si>
    <t>✔ YES
(5,251 MW)</t>
  </si>
  <si>
    <t>Chikhli plant: 1,328 MW PERC + 3,923 MW TOPCon = 5,251 MW ALMM-listed (5.4 GW total capacity). FY27P: 15.4 GW (new 10 GW plant expansion). Wafer-ingot: 10 GW at Nagpur u/c (grd-break Mar 2026, FY28 operational).
Source: Energetica India Dec 2025; Waaree FY26 earnings May 2026; BusinessToday Apr 2026</t>
  </si>
  <si>
    <t>✔ YES
(~4,237 MW)</t>
  </si>
  <si>
    <t>TECHNOLOGY CORRECTED: PERC (1,939 MW) + TOPCon (~2,298 MW). NO HJT. FY25: 4 GW (2 GW PERC + 2 GW TOPCon). Efficiency: PERC 23.35%, TOPCon 25.27-25.35%. FY26E: heading toward 5 GW TOPCon per authorized dealer data.
Source: MNRE ALMM List-II Jul 31 2025; PV Magazine India Aug 5 2025; Mercom India Jul 2025</t>
  </si>
  <si>
    <t>TOPCon G12R +
Mono PERC (bifacial)</t>
  </si>
  <si>
    <t>✔ YES
(~2,732 MW listed)</t>
  </si>
  <si>
    <t>FY26 actual cell capacity: 3.6 GW (as of Mar 2026 per annual report). FY27P target: 10.6 GW cell capacity by Sep 2026 (confirmed Q3 FY26 concall Jan 2026). ALMM-listed: 1,925 MW PERC + 607 MW TOPCon G12R (added Feb 2026).
Source: Energetica India May 2026; Business Standard Dec 2025; Premier Q3 FY26 call Jan 2026</t>
  </si>
  <si>
    <t>CdTe Thin Film</t>
  </si>
  <si>
    <t>✔ YES
(3,433 MW)</t>
  </si>
  <si>
    <t>Thin-film; not Si. ALMM List-II capacity: 3,433 MW (up from 3,212 MW, Feb 2026 update). Only non-Si cell maker in ALMM. Steady-state India capacity.
Source: Energetica India Feb 2026; MNRE ALMM List-II 6th revision</t>
  </si>
  <si>
    <t>TOPCon</t>
  </si>
  <si>
    <t>CORRECTED STATUS: Cell plant is UNDER CONSTRUCTION. Ground-breaking Oct 27, 2025. Target commissioning: late 2026. NOT yet ALMM List-II approved as of Jun 2026. Module capacity: 3 GW (ALMM List-I since Feb 2026).
Source: SolarQuarter Oct 28 2025; PV Magazine Feb 10 2026</t>
  </si>
  <si>
    <t>Tata Power Solar
(TP Solar + TPREL)</t>
  </si>
  <si>
    <t>Mono PERC (bifacial)
+ TOPCon</t>
  </si>
  <si>
    <t>CORRECTED STATUS: 'Partial' was wrong. Tata Power joined ALMM List-II Sep 2025 as FULL member. LARGEST single addition: TP Solar 4,480 MW PERC + 53 MW TOPCon + TPREL 280 MW PERC = 4,813 MW. Efficiency: 23.25-23.30%. FY26E: ~5 GW operational.
Source: PV Tech Sep 26 2025; Energetica India Dec 2025</t>
  </si>
  <si>
    <t>Emmvee Energy</t>
  </si>
  <si>
    <t>TOPCon (N-type
bifacial)</t>
  </si>
  <si>
    <t>MISSING FROM ORIGINAL IMAGE. Was in ALMM List-II from Day-1 (Jul 31, 2025). 1,553 MW TOPCon. Bengaluru, Karnataka.
Source: MNRE ALMM List-II Jul 31 2025; PV Tech Aug 5 2025</t>
  </si>
  <si>
    <t>ReNew PV</t>
  </si>
  <si>
    <t>Mono PERC (bifacial)</t>
  </si>
  <si>
    <t>MISSING FROM ORIGINAL IMAGE. In ALMM List-II from Day-1. Gujarat plant.
Source: MNRE ALMM List-II Jul 31 2025</t>
  </si>
  <si>
    <t>Jupiter International</t>
  </si>
  <si>
    <t>MISSING FROM ORIGINAL IMAGE. In ALMM List-II from Day-1. Baddi, Himachal Pradesh. Adding Unit III.
Source: MNRE ALMM List-II Jul 31 2025</t>
  </si>
  <si>
    <t>Websol Energy Systems</t>
  </si>
  <si>
    <t>MISSING FROM ORIGINAL IMAGE. Joined Nov 2025. Capacity upgraded to 1,202 MW in May 2026. Falta SEZ, West Bengal.
Source: MNRE ALMM List-II 7th revision May 2026</t>
  </si>
  <si>
    <t>Evervolt Solar Technology</t>
  </si>
  <si>
    <t>MISSING FROM ORIGINAL IMAGE. Joined Feb 2026. Tirupati, Andhra Pradesh. Efficiency: 23.10%.
Source: MNRE ALMM List-II 6th revision Feb 2026; Energetica India Feb 2026</t>
  </si>
  <si>
    <t>Reliance Industries
(New Energy)</t>
  </si>
  <si>
    <t>HJT (highest
efficiency in India)★</t>
  </si>
  <si>
    <t>MISSING FROM ORIGINAL IMAGE. Joined ALMM List-II in 7th revision May-Jun 2026. HIGHEST efficiency: 25.4-25.6%. Jamnagar. Also producing 720 Wp HJT modules commercially (200 MWp batch delivered).
Source: SaurEnergy May 2026; Energetica India May 2026</t>
  </si>
  <si>
    <t>Some approved</t>
  </si>
  <si>
    <t>Fragmented; compliance pressure from ALMM-II mandate (Jun 1, 2026). Includes RenewSys India (added May 2026), Goldi Solar (1.2 GW Phase-1 targeted Mar 2026).
Source: SaurEnergy May 2026</t>
  </si>
  <si>
    <t>INDIA TOTAL CELLS</t>
  </si>
  <si>
    <t>~6.9</t>
  </si>
  <si>
    <t>~14</t>
  </si>
  <si>
    <t>~26.8+★
(ALMM-listed)</t>
  </si>
  <si>
    <t>30 GW+
(7 revisions)</t>
  </si>
  <si>
    <t>CORRECTED: ALMM List-II total = 26,790 MW (Feb 2026); grew to ~30 GW+ by Jun 2026 after 7th revision. Original FY26E of 20.6 GW significantly understated. Vs 55-60 GW module demand in FY26 (India added 44.6 GW AC solar in FY26).
Source: Energetica India Feb 5 2026; Premier Energies FY26 results May 2026</t>
  </si>
  <si>
    <t>5.4
(→15.4 FY27)</t>
  </si>
  <si>
    <t>Mono PERC + TOPCon
(NOT HJT)</t>
  </si>
  <si>
    <t>2
(target)</t>
  </si>
  <si>
    <t>WIP
(0 ALMM-approved)</t>
  </si>
  <si>
    <t>✔ YES FULL
(4,813 MW)</t>
  </si>
  <si>
    <t>⚠ PENDING
(WIP — NOT approved)</t>
  </si>
  <si>
    <t>✔ YES
(1,553 MW)
Original List</t>
  </si>
  <si>
    <t>✔ YES
(1,766 MW)
Original List</t>
  </si>
  <si>
    <t>✔ YES
(779 MW)
Original List</t>
  </si>
  <si>
    <t>✔ YES
(1,202 MW)
Nov 2025</t>
  </si>
  <si>
    <t>✔ YES
(1,074 MW)
Feb 2026</t>
  </si>
  <si>
    <t>✔ YES
(1,238 MW HJT)
May-Jun 2026</t>
  </si>
  <si>
    <t>0.6→1.2</t>
  </si>
  <si>
    <t>~40+</t>
  </si>
  <si>
    <t>Country</t>
  </si>
  <si>
    <t>2024
Shipments
(Actual GW)</t>
  </si>
  <si>
    <t>2024 Nameplate
Capacity (GW)</t>
  </si>
  <si>
    <t>2025E
Capacity</t>
  </si>
  <si>
    <t>2026P</t>
  </si>
  <si>
    <t>LONGi Green Energy</t>
  </si>
  <si>
    <t>China</t>
  </si>
  <si>
    <t>~100 GW
(BC pivot)</t>
  </si>
  <si>
    <t>~110 GW</t>
  </si>
  <si>
    <t>HPBC 2.0
(Back-Contact)
/ Mono PERC</t>
  </si>
  <si>
    <t>Jinko Solar</t>
  </si>
  <si>
    <t>China (+Malaysia, US)</t>
  </si>
  <si>
    <t>130 GW
capacity; 85-100 GW ship</t>
  </si>
  <si>
    <t>75-85 GW ship</t>
  </si>
  <si>
    <t>TOPCon
(N-type dominant)</t>
  </si>
  <si>
    <t>Canadian Solar</t>
  </si>
  <si>
    <t>Canada / China</t>
  </si>
  <si>
    <t>~38 GW</t>
  </si>
  <si>
    <t>TOPCon (primary)
+ HJT (emerging)
[TOPCon dominant]</t>
  </si>
  <si>
    <t>First Solar</t>
  </si>
  <si>
    <t>USA (+India,
Malaysia, Vietnam)</t>
  </si>
  <si>
    <t>~14 GW shipped
(#7 globally)</t>
  </si>
  <si>
    <t>~24 GW</t>
  </si>
  <si>
    <t>~28 GW</t>
  </si>
  <si>
    <t>CdTe Thin Film
(only large-scale
non-Si)</t>
  </si>
  <si>
    <t>Trina Solar</t>
  </si>
  <si>
    <t>~80 GW</t>
  </si>
  <si>
    <t>~90 GW
(target)</t>
  </si>
  <si>
    <t>~95 GW</t>
  </si>
  <si>
    <t>TOPCon / Vertex N
(i-TOPCon)</t>
  </si>
  <si>
    <t>Risen Energy</t>
  </si>
  <si>
    <t>~50 GW
nameplate; ~20 GW ship</t>
  </si>
  <si>
    <t>~25 GW</t>
  </si>
  <si>
    <t>HJT (primary,
differentiating)
[N-type focus]</t>
  </si>
  <si>
    <t>Waaree Energies
(India context)</t>
  </si>
  <si>
    <t>India</t>
  </si>
  <si>
    <t>~15 GW FY25
(India shipped)</t>
  </si>
  <si>
    <t>~25-26 GW
global</t>
  </si>
  <si>
    <t>~28-30 GW</t>
  </si>
  <si>
    <t>TOPCon (primary)
+ PERC + HJT
(Chikhli)</t>
  </si>
  <si>
    <t>Adani Solar
(India context)</t>
  </si>
  <si>
    <t>~4-5 GW
(FY25 India)</t>
  </si>
  <si>
    <t>~7 GW modules
(mid-2026)</t>
  </si>
  <si>
    <t>7-10 GW</t>
  </si>
  <si>
    <t>10-15 GW</t>
  </si>
  <si>
    <t>~78
(not 120 GW)</t>
  </si>
  <si>
    <t>92.9 GW
(#1 globally 2024)</t>
  </si>
  <si>
    <t>~31 GW
(not 50 GW)</t>
  </si>
  <si>
    <t>~77 GW
(not 80 GW)</t>
  </si>
  <si>
    <t>~18 GW
(not ~40 GW)</t>
  </si>
  <si>
    <t>22.77 GW global
(20.17 GW India)</t>
  </si>
  <si>
    <t>~48 GW
nameplate</t>
  </si>
  <si>
    <t>~21 GW global</t>
  </si>
  <si>
    <t>~32 GW
(CSI Solar mid-2024)</t>
  </si>
  <si>
    <t>~100 GW</t>
  </si>
  <si>
    <t>~35 GW</t>
  </si>
  <si>
    <t>TOPCon + Mono PERC
(NOT HJT)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</si>
</sst>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font>
    <font>
      <b/>
      <sz val="11"/>
      <color theme="0"/>
      <name val="calibri"/>
      <family val="2"/>
    </font>
    <font>
      <sz val="11"/>
      <color theme="0"/>
      <name val="calibri"/>
      <family val="2"/>
    </font>
    <font>
      <b/>
      <i/>
      <sz val="11"/>
      <color theme="1"/>
      <name val="calibri"/>
      <family val="2"/>
    </font>
    <font>
      <b/>
      <i/>
      <sz val="20"/>
      <color theme="0"/>
      <name val="calibri"/>
      <family val="2"/>
    </font>
    <font>
      <b/>
      <sz val="14"/>
      <color theme="0"/>
      <name val="calibri"/>
      <family val="2"/>
    </font>
    <font>
      <i/>
      <sz val="10"/>
      <color theme="1"/>
      <name val="calibri"/>
      <family val="2"/>
    </font>
    <font>
      <b/>
      <i/>
      <sz val="14"/>
      <color theme="0"/>
      <name val="calibri"/>
      <family val="2"/>
    </font>
    <font>
      <i/>
      <sz val="10"/>
      <color theme="3"/>
      <name val="calibri"/>
      <family val="2"/>
    </font>
    <font>
      <b/>
      <i/>
      <vertAlign val="superscript"/>
      <sz val="11"/>
      <color theme="0"/>
      <name val="calibri"/>
      <family val="2"/>
    </font>
    <font>
      <i/>
      <vertAlign val="superscript"/>
      <sz val="10"/>
      <color theme="1"/>
      <name val="calibri"/>
      <family val="2"/>
    </font>
    <font>
      <b/>
      <sz val="16"/>
      <color theme="0"/>
      <name val="calibri"/>
      <family val="2"/>
    </font>
    <font>
      <b/>
      <sz val="14"/>
      <color theme="1"/>
      <name val="calibri"/>
      <family val="2"/>
    </font>
    <font>
      <i/>
      <sz val="11"/>
      <color theme="1"/>
      <name val="calibri"/>
      <family val="2"/>
    </font>
    <font>
      <i/>
      <sz val="11"/>
      <color theme="0"/>
      <name val="calibri"/>
      <family val="2"/>
    </font>
    <font>
      <b/>
      <i/>
      <sz val="11"/>
      <color theme="0"/>
      <name val="calibri"/>
      <family val="2"/>
    </font>
    <font>
      <b/>
      <sz val="22"/>
      <color theme="1"/>
      <name val="calibri"/>
      <family val="2"/>
    </font>
    <font>
      <sz val="10"/>
      <color rgb="FF3D3D3A"/>
      <name val="Calibri"/>
      <family val="2"/>
    </font>
    <font>
      <sz val="11"/>
      <color theme="1"/>
      <name val="calibri"/>
      <family val="2"/>
    </font>
    <font>
      <sz val="12"/>
      <color theme="1"/>
      <name val="calibri"/>
      <family val="2"/>
    </font>
    <font>
      <b/>
      <sz val="11"/>
      <color rgb="FFFFFFFF"/>
      <name val="Arial"/>
    </font>
    <font>
      <sz val="14"/>
      <color rgb="FF666666"/>
      <name val="Calibri"/>
      <family val="2"/>
    </font>
    <font>
      <sz val="9"/>
      <color rgb="FF000000"/>
      <name val="Arial"/>
      <family val="2"/>
    </font>
    <font>
      <i/>
      <sz val="8"/>
      <color rgb="FF404040"/>
      <name val="Arial"/>
      <family val="2"/>
    </font>
    <font>
      <sz val="11"/>
      <color theme="1"/>
      <name val="Calibri"/>
      <family val="2"/>
      <charset val="1"/>
    </font>
    <font>
      <b/>
      <sz val="9"/>
      <color rgb="FFFFFFFF"/>
      <name val="Arial"/>
      <family val="2"/>
    </font>
    <font>
      <b/>
      <sz val="9"/>
      <color theme="1"/>
      <name val="Arial"/>
      <family val="2"/>
    </font>
    <font>
      <sz val="8"/>
      <color theme="1"/>
      <name val="Arial"/>
      <family val="2"/>
    </font>
    <font>
      <i/>
      <sz val="7"/>
      <color theme="1"/>
      <name val="Arial"/>
      <family val="2"/>
    </font>
    <font>
      <b/>
      <sz val="10"/>
      <color rgb="FF000000"/>
      <name val="Calibri"/>
      <family val="2"/>
    </font>
    <font>
      <b/>
      <sz val="10"/>
      <color rgb="FF1F4E79"/>
      <name val="Calibri"/>
      <family val="2"/>
    </font>
    <font>
      <i/>
      <sz val="7.5"/>
      <color theme="1"/>
      <name val="Arial"/>
      <family val="2"/>
    </font>
    <font>
      <sz val="9"/>
      <color theme="1"/>
      <name val="Arial"/>
      <family val="2"/>
    </font>
    <font>
      <b/>
      <sz val="11"/>
      <color theme="0"/>
      <name val="Arial"/>
      <family val="2"/>
    </font>
    <font>
      <b/>
      <sz val="11"/>
      <color theme="1"/>
      <name val="calibri"/>
      <family val="2"/>
    </font>
    <font>
      <b/>
      <sz val="10"/>
      <color rgb="FFFFFFFF"/>
      <name val="Arial"/>
    </font>
    <font>
      <b/>
      <sz val="9"/>
      <name val="Arial"/>
    </font>
    <font>
      <sz val="9"/>
      <name val="Arial"/>
    </font>
    <font>
      <i/>
      <sz val="7.5"/>
      <color rgb="FF666666"/>
      <name val="Arial"/>
    </font>
    <font>
      <b/>
      <sz val="13"/>
      <color rgb="FFFFFFFF"/>
      <name val="Arial"/>
    </font>
    <font>
      <b/>
      <sz val="10"/>
      <name val="Arial"/>
    </font>
    <font>
      <sz val="10"/>
      <name val="Arial"/>
    </font>
    <font>
      <b/>
      <sz val="9"/>
      <color rgb="FF1A6B3A"/>
      <name val="Arial"/>
    </font>
    <font>
      <b/>
      <sz val="14"/>
      <color rgb="FFFFFFFF"/>
      <name val="Arial"/>
    </font>
    <font>
      <b/>
      <sz val="10"/>
      <color rgb="FFFFFFFF"/>
      <name val="Arial"/>
      <family val="2"/>
    </font>
    <font>
      <b/>
      <sz val="10"/>
      <name val="Arial"/>
      <family val="2"/>
    </font>
    <font>
      <sz val="9"/>
      <name val="Arial"/>
      <family val="2"/>
    </font>
    <font>
      <i/>
      <sz val="8"/>
      <color rgb="FF444444"/>
      <name val="Arial"/>
      <family val="2"/>
    </font>
    <font>
      <i/>
      <sz val="11"/>
      <color rgb="FF444444"/>
      <name val="Calibri"/>
      <family val="2"/>
    </font>
  </fonts>
  <fills count="36">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rgb="FF4CAF50"/>
      </patternFill>
    </fill>
    <fill>
      <patternFill patternType="solid">
        <fgColor theme="9" tint="0.59999389629810485"/>
        <bgColor indexed="64"/>
      </patternFill>
    </fill>
    <fill>
      <patternFill patternType="solid">
        <fgColor theme="9" tint="0.79998168889431442"/>
        <bgColor rgb="FFE2EFDA"/>
      </patternFill>
    </fill>
    <fill>
      <patternFill patternType="solid">
        <fgColor theme="9" tint="0.79998168889431442"/>
        <bgColor rgb="FFF2F2F2"/>
      </patternFill>
    </fill>
    <fill>
      <patternFill patternType="solid">
        <fgColor theme="9" tint="0.79998168889431442"/>
        <bgColor rgb="FFFFF2CC"/>
      </patternFill>
    </fill>
    <fill>
      <patternFill patternType="solid">
        <fgColor theme="9" tint="0.79998168889431442"/>
        <bgColor rgb="FFDEEAF1"/>
      </patternFill>
    </fill>
    <fill>
      <patternFill patternType="solid">
        <fgColor rgb="FFF2F2F2"/>
        <bgColor rgb="FFDEEAF1"/>
      </patternFill>
    </fill>
    <fill>
      <patternFill patternType="solid">
        <fgColor theme="9" tint="0.79998168889431442"/>
        <bgColor rgb="FFFF0000"/>
      </patternFill>
    </fill>
    <fill>
      <patternFill patternType="solid">
        <fgColor theme="9" tint="0.79998168889431442"/>
        <bgColor rgb="FFC00000"/>
      </patternFill>
    </fill>
    <fill>
      <patternFill patternType="solid">
        <fgColor theme="9" tint="0.79998168889431442"/>
        <bgColor rgb="FFFF9900"/>
      </patternFill>
    </fill>
    <fill>
      <patternFill patternType="solid">
        <fgColor theme="9" tint="0.79998168889431442"/>
        <bgColor rgb="FF333399"/>
      </patternFill>
    </fill>
    <fill>
      <patternFill patternType="solid">
        <fgColor theme="9" tint="0.79998168889431442"/>
        <bgColor rgb="FF339966"/>
      </patternFill>
    </fill>
    <fill>
      <patternFill patternType="solid">
        <fgColor theme="9" tint="0.79998168889431442"/>
        <bgColor rgb="FF595959"/>
      </patternFill>
    </fill>
    <fill>
      <patternFill patternType="solid">
        <fgColor theme="9" tint="0.79998168889431442"/>
        <bgColor rgb="FF0066CC"/>
      </patternFill>
    </fill>
    <fill>
      <patternFill patternType="solid">
        <fgColor theme="9" tint="0.39997558519241921"/>
        <bgColor rgb="FF0066CC"/>
      </patternFill>
    </fill>
    <fill>
      <patternFill patternType="solid">
        <fgColor theme="9" tint="0.79998168889431442"/>
        <bgColor rgb="FFFCE4D6"/>
      </patternFill>
    </fill>
    <fill>
      <patternFill patternType="solid">
        <fgColor theme="9" tint="0.79998168889431442"/>
        <bgColor rgb="FF800000"/>
      </patternFill>
    </fill>
    <fill>
      <patternFill patternType="solid">
        <fgColor theme="9" tint="0.79998168889431442"/>
        <bgColor rgb="FF008080"/>
      </patternFill>
    </fill>
    <fill>
      <patternFill patternType="solid">
        <fgColor theme="9" tint="-0.249977111117893"/>
        <bgColor rgb="FFB8CCE4"/>
      </patternFill>
    </fill>
    <fill>
      <patternFill patternType="solid">
        <fgColor theme="5" tint="0.79998168889431442"/>
        <bgColor indexed="64"/>
      </patternFill>
    </fill>
    <fill>
      <patternFill patternType="solid">
        <fgColor theme="0"/>
        <bgColor rgb="FF595959"/>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89999084444715716"/>
        <bgColor rgb="FFFF0000"/>
      </patternFill>
    </fill>
    <fill>
      <patternFill patternType="solid">
        <fgColor theme="2" tint="-9.9978637043366805E-2"/>
        <bgColor indexed="64"/>
      </patternFill>
    </fill>
    <fill>
      <patternFill patternType="solid">
        <fgColor rgb="FF145228"/>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rgb="FF2E75B6"/>
      </left>
      <right/>
      <top style="medium">
        <color rgb="FF2E75B6"/>
      </top>
      <bottom style="medium">
        <color rgb="FF2E75B6"/>
      </bottom>
      <diagonal/>
    </border>
    <border>
      <left/>
      <right/>
      <top style="medium">
        <color rgb="FF2E75B6"/>
      </top>
      <bottom style="medium">
        <color rgb="FF2E75B6"/>
      </bottom>
      <diagonal/>
    </border>
    <border>
      <left style="medium">
        <color rgb="FF555555"/>
      </left>
      <right style="medium">
        <color rgb="FF555555"/>
      </right>
      <top style="medium">
        <color rgb="FF555555"/>
      </top>
      <bottom style="medium">
        <color rgb="FF555555"/>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medium">
        <color rgb="FF555555"/>
      </left>
      <right style="thin">
        <color indexed="64"/>
      </right>
      <top style="medium">
        <color rgb="FF555555"/>
      </top>
      <bottom style="medium">
        <color rgb="FF555555"/>
      </bottom>
      <diagonal/>
    </border>
    <border>
      <left style="medium">
        <color rgb="FF444444"/>
      </left>
      <right style="medium">
        <color rgb="FF444444"/>
      </right>
      <top style="medium">
        <color rgb="FF444444"/>
      </top>
      <bottom style="medium">
        <color rgb="FF44444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9" fontId="18" fillId="0" borderId="0" applyFont="0" applyFill="0" applyBorder="0" applyAlignment="0" applyProtection="0"/>
    <xf numFmtId="0" fontId="24" fillId="0" borderId="0"/>
  </cellStyleXfs>
  <cellXfs count="157">
    <xf numFmtId="0" fontId="0" fillId="0" borderId="0" xfId="0"/>
    <xf numFmtId="0" fontId="3" fillId="0" borderId="0" xfId="0" applyFont="1"/>
    <xf numFmtId="0" fontId="2" fillId="0" borderId="0" xfId="0" applyFont="1"/>
    <xf numFmtId="0" fontId="4" fillId="5" borderId="0" xfId="0" applyFont="1" applyFill="1"/>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11" fillId="5" borderId="0" xfId="0" applyFont="1" applyFill="1" applyAlignment="1">
      <alignment vertical="center"/>
    </xf>
    <xf numFmtId="0" fontId="12" fillId="0" borderId="0" xfId="0" applyFont="1"/>
    <xf numFmtId="0" fontId="1" fillId="3" borderId="1" xfId="0" applyFont="1" applyFill="1" applyBorder="1" applyAlignment="1">
      <alignment horizontal="center"/>
    </xf>
    <xf numFmtId="0" fontId="1" fillId="3" borderId="1" xfId="0" applyFont="1" applyFill="1" applyBorder="1" applyAlignment="1">
      <alignment horizontal="right"/>
    </xf>
    <xf numFmtId="0" fontId="5" fillId="5" borderId="0" xfId="0" applyFont="1" applyFill="1" applyAlignment="1">
      <alignment horizontal="center"/>
    </xf>
    <xf numFmtId="0" fontId="13" fillId="0" borderId="1" xfId="0" applyFont="1" applyBorder="1" applyAlignment="1">
      <alignment horizontal="center"/>
    </xf>
    <xf numFmtId="0" fontId="13" fillId="7" borderId="1" xfId="0" applyFont="1" applyFill="1" applyBorder="1" applyAlignment="1">
      <alignment horizontal="center" wrapText="1"/>
    </xf>
    <xf numFmtId="0" fontId="0" fillId="0" borderId="4" xfId="0" applyBorder="1"/>
    <xf numFmtId="0" fontId="0" fillId="0" borderId="6" xfId="0" applyBorder="1"/>
    <xf numFmtId="0" fontId="13" fillId="0" borderId="6" xfId="0" applyFont="1" applyBorder="1" applyAlignment="1">
      <alignment horizontal="center"/>
    </xf>
    <xf numFmtId="0" fontId="0" fillId="0" borderId="3" xfId="0" applyBorder="1"/>
    <xf numFmtId="0" fontId="1" fillId="3" borderId="4" xfId="0" applyFont="1" applyFill="1" applyBorder="1" applyAlignment="1">
      <alignment horizontal="right"/>
    </xf>
    <xf numFmtId="0" fontId="1" fillId="5" borderId="0" xfId="0" applyFont="1" applyFill="1" applyAlignment="1">
      <alignment horizontal="right"/>
    </xf>
    <xf numFmtId="0" fontId="17" fillId="0" borderId="0" xfId="0" applyFont="1"/>
    <xf numFmtId="0" fontId="0" fillId="8" borderId="4" xfId="0" applyFill="1" applyBorder="1"/>
    <xf numFmtId="0" fontId="0" fillId="8" borderId="1" xfId="0" applyFill="1" applyBorder="1"/>
    <xf numFmtId="0" fontId="0" fillId="8" borderId="1" xfId="0" applyFill="1" applyBorder="1" applyAlignment="1">
      <alignment horizontal="right"/>
    </xf>
    <xf numFmtId="10" fontId="0" fillId="8" borderId="4" xfId="0" applyNumberFormat="1" applyFill="1" applyBorder="1"/>
    <xf numFmtId="10" fontId="0" fillId="8" borderId="1" xfId="0" applyNumberFormat="1" applyFill="1" applyBorder="1"/>
    <xf numFmtId="0" fontId="0" fillId="0" borderId="1" xfId="0" applyBorder="1" applyAlignment="1">
      <alignment horizontal="right"/>
    </xf>
    <xf numFmtId="0" fontId="13" fillId="0" borderId="4" xfId="0" applyFont="1" applyBorder="1"/>
    <xf numFmtId="0" fontId="13" fillId="0" borderId="1" xfId="0" applyFont="1" applyBorder="1"/>
    <xf numFmtId="0" fontId="0" fillId="0" borderId="1" xfId="0" applyBorder="1" applyAlignment="1">
      <alignment vertical="center" wrapText="1"/>
    </xf>
    <xf numFmtId="0" fontId="0" fillId="0" borderId="2" xfId="0" applyBorder="1" applyAlignment="1">
      <alignment horizontal="center"/>
    </xf>
    <xf numFmtId="0" fontId="0" fillId="4" borderId="1" xfId="0" applyFill="1" applyBorder="1"/>
    <xf numFmtId="9" fontId="0" fillId="0" borderId="1" xfId="1" applyFont="1" applyBorder="1"/>
    <xf numFmtId="0" fontId="0" fillId="9" borderId="4" xfId="0" applyFill="1" applyBorder="1" applyAlignment="1">
      <alignment horizontal="right"/>
    </xf>
    <xf numFmtId="0" fontId="0" fillId="4" borderId="1" xfId="0" applyFill="1" applyBorder="1" applyAlignment="1">
      <alignment horizontal="right"/>
    </xf>
    <xf numFmtId="0" fontId="0" fillId="0" borderId="14" xfId="0" applyBorder="1" applyAlignment="1">
      <alignment vertical="center" wrapText="1"/>
    </xf>
    <xf numFmtId="0" fontId="0" fillId="0" borderId="0" xfId="0" applyAlignment="1">
      <alignment horizontal="center" wrapText="1"/>
    </xf>
    <xf numFmtId="0" fontId="0" fillId="5" borderId="0" xfId="0" applyFill="1"/>
    <xf numFmtId="0" fontId="0" fillId="4" borderId="1" xfId="0" applyFill="1" applyBorder="1" applyAlignment="1">
      <alignment vertical="top" wrapText="1"/>
    </xf>
    <xf numFmtId="0" fontId="1" fillId="5" borderId="0" xfId="0" applyFont="1" applyFill="1"/>
    <xf numFmtId="0" fontId="0" fillId="4" borderId="16" xfId="0" applyFill="1" applyBorder="1" applyAlignment="1">
      <alignment vertical="top" wrapText="1"/>
    </xf>
    <xf numFmtId="0" fontId="0" fillId="5" borderId="0" xfId="0" applyFill="1" applyAlignment="1">
      <alignment wrapText="1"/>
    </xf>
    <xf numFmtId="0" fontId="1" fillId="3" borderId="1" xfId="0" applyFont="1" applyFill="1" applyBorder="1" applyAlignment="1">
      <alignment vertical="center" wrapText="1"/>
    </xf>
    <xf numFmtId="0" fontId="1" fillId="3" borderId="1" xfId="0" applyFont="1" applyFill="1" applyBorder="1"/>
    <xf numFmtId="0" fontId="0" fillId="4" borderId="6" xfId="0" applyFill="1" applyBorder="1" applyAlignment="1">
      <alignment vertical="top" wrapText="1"/>
    </xf>
    <xf numFmtId="0" fontId="20" fillId="10" borderId="15" xfId="0" applyFont="1" applyFill="1" applyBorder="1" applyAlignment="1">
      <alignment horizontal="center" vertical="center" wrapText="1"/>
    </xf>
    <xf numFmtId="0" fontId="0" fillId="11" borderId="15" xfId="0" applyFill="1" applyBorder="1"/>
    <xf numFmtId="0" fontId="0" fillId="11" borderId="17" xfId="0" applyFill="1" applyBorder="1"/>
    <xf numFmtId="0" fontId="0" fillId="11" borderId="15" xfId="0" applyFill="1" applyBorder="1" applyAlignment="1">
      <alignment horizontal="right"/>
    </xf>
    <xf numFmtId="0" fontId="22" fillId="12" borderId="15" xfId="0" applyFont="1" applyFill="1" applyBorder="1" applyAlignment="1">
      <alignment horizontal="left" vertical="center" wrapText="1"/>
    </xf>
    <xf numFmtId="0" fontId="23" fillId="13" borderId="6" xfId="0" applyFont="1" applyFill="1" applyBorder="1" applyAlignment="1">
      <alignment horizontal="left" vertical="top" wrapText="1"/>
    </xf>
    <xf numFmtId="0" fontId="22" fillId="13" borderId="15" xfId="0" applyFont="1" applyFill="1" applyBorder="1" applyAlignment="1">
      <alignment horizontal="left" vertical="center" wrapText="1"/>
    </xf>
    <xf numFmtId="0" fontId="23" fillId="13" borderId="1" xfId="0" applyFont="1" applyFill="1" applyBorder="1" applyAlignment="1">
      <alignment horizontal="left" vertical="top" wrapText="1"/>
    </xf>
    <xf numFmtId="0" fontId="22" fillId="14" borderId="15" xfId="0" applyFont="1" applyFill="1" applyBorder="1" applyAlignment="1">
      <alignment horizontal="left" vertical="center" wrapText="1"/>
    </xf>
    <xf numFmtId="0" fontId="22" fillId="15" borderId="15" xfId="0" applyFont="1" applyFill="1" applyBorder="1" applyAlignment="1">
      <alignment horizontal="left" vertical="center" wrapText="1"/>
    </xf>
    <xf numFmtId="0" fontId="26" fillId="13" borderId="1" xfId="2" applyFont="1" applyFill="1" applyBorder="1" applyAlignment="1">
      <alignment horizontal="left" vertical="center" wrapText="1"/>
    </xf>
    <xf numFmtId="0" fontId="27" fillId="13" borderId="1" xfId="2" applyFont="1" applyFill="1" applyBorder="1" applyAlignment="1">
      <alignment horizontal="left" vertical="top" wrapText="1"/>
    </xf>
    <xf numFmtId="0" fontId="26" fillId="17" borderId="1" xfId="2" applyFont="1" applyFill="1" applyBorder="1" applyAlignment="1">
      <alignment horizontal="center" vertical="center" wrapText="1"/>
    </xf>
    <xf numFmtId="0" fontId="26" fillId="15" borderId="1" xfId="2" applyFont="1" applyFill="1" applyBorder="1" applyAlignment="1">
      <alignment horizontal="left" vertical="center" wrapText="1"/>
    </xf>
    <xf numFmtId="0" fontId="26" fillId="18" borderId="1" xfId="2" applyFont="1" applyFill="1" applyBorder="1" applyAlignment="1">
      <alignment horizontal="center" vertical="center" wrapText="1"/>
    </xf>
    <xf numFmtId="0" fontId="26" fillId="19" borderId="1" xfId="2" applyFont="1" applyFill="1" applyBorder="1" applyAlignment="1">
      <alignment horizontal="center" vertical="center" wrapText="1"/>
    </xf>
    <xf numFmtId="0" fontId="26" fillId="21" borderId="1" xfId="2" applyFont="1" applyFill="1" applyBorder="1" applyAlignment="1">
      <alignment horizontal="center" vertical="center" wrapText="1"/>
    </xf>
    <xf numFmtId="0" fontId="26" fillId="22" borderId="1" xfId="2" applyFont="1" applyFill="1" applyBorder="1" applyAlignment="1">
      <alignment horizontal="center" vertical="center" wrapText="1"/>
    </xf>
    <xf numFmtId="0" fontId="26" fillId="23" borderId="1" xfId="2"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2" fillId="14" borderId="15" xfId="0" applyFont="1" applyFill="1" applyBorder="1" applyAlignment="1">
      <alignment horizontal="left" vertical="center" wrapText="1"/>
    </xf>
    <xf numFmtId="0" fontId="26" fillId="14" borderId="15" xfId="2" applyFont="1" applyFill="1" applyBorder="1" applyAlignment="1">
      <alignment horizontal="center" vertical="center" wrapText="1"/>
    </xf>
    <xf numFmtId="0" fontId="26" fillId="25" borderId="15" xfId="2" applyFont="1" applyFill="1" applyBorder="1" applyAlignment="1">
      <alignment horizontal="center" vertical="center" wrapText="1"/>
    </xf>
    <xf numFmtId="0" fontId="26" fillId="26" borderId="15" xfId="2" applyFont="1" applyFill="1" applyBorder="1" applyAlignment="1">
      <alignment horizontal="center" vertical="center" wrapText="1"/>
    </xf>
    <xf numFmtId="0" fontId="31" fillId="12" borderId="15" xfId="2" applyFont="1" applyFill="1" applyBorder="1" applyAlignment="1">
      <alignment horizontal="left" vertical="top" wrapText="1"/>
    </xf>
    <xf numFmtId="0" fontId="25" fillId="24" borderId="15" xfId="0" applyFont="1" applyFill="1" applyBorder="1" applyAlignment="1">
      <alignment horizontal="center" vertical="center" wrapText="1"/>
    </xf>
    <xf numFmtId="0" fontId="26" fillId="19" borderId="15" xfId="2" applyFont="1" applyFill="1" applyBorder="1" applyAlignment="1">
      <alignment horizontal="center" vertical="center" wrapText="1"/>
    </xf>
    <xf numFmtId="0" fontId="26" fillId="15" borderId="15" xfId="2" applyFont="1" applyFill="1" applyBorder="1" applyAlignment="1">
      <alignment horizontal="center" vertical="center" wrapText="1"/>
    </xf>
    <xf numFmtId="0" fontId="26" fillId="27" borderId="15" xfId="2"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6" fillId="4" borderId="21" xfId="0" applyFont="1" applyFill="1" applyBorder="1" applyAlignment="1">
      <alignment vertical="top" wrapText="1"/>
    </xf>
    <xf numFmtId="0" fontId="37" fillId="4" borderId="21" xfId="0" applyFont="1" applyFill="1" applyBorder="1" applyAlignment="1">
      <alignment vertical="top" wrapText="1"/>
    </xf>
    <xf numFmtId="0" fontId="35" fillId="5" borderId="0" xfId="0" applyFont="1" applyFill="1" applyAlignment="1">
      <alignment horizontal="center" vertical="center" wrapText="1"/>
    </xf>
    <xf numFmtId="0" fontId="37" fillId="4" borderId="22" xfId="0" applyFont="1" applyFill="1" applyBorder="1" applyAlignment="1">
      <alignment vertical="top" wrapText="1"/>
    </xf>
    <xf numFmtId="0" fontId="35" fillId="3" borderId="23"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35" fillId="2" borderId="25" xfId="0" applyFont="1" applyFill="1" applyBorder="1" applyAlignment="1">
      <alignment horizontal="center" vertical="center" wrapText="1"/>
    </xf>
    <xf numFmtId="0" fontId="40" fillId="4" borderId="25" xfId="0" applyFont="1" applyFill="1" applyBorder="1" applyAlignment="1">
      <alignment horizontal="center" vertical="center"/>
    </xf>
    <xf numFmtId="0" fontId="41" fillId="4" borderId="25" xfId="0" applyFont="1" applyFill="1" applyBorder="1" applyAlignment="1">
      <alignment horizontal="left" vertical="center" wrapText="1"/>
    </xf>
    <xf numFmtId="0" fontId="42" fillId="4" borderId="25" xfId="0" applyFont="1" applyFill="1" applyBorder="1" applyAlignment="1">
      <alignment horizontal="left" vertical="center" wrapText="1"/>
    </xf>
    <xf numFmtId="0" fontId="0" fillId="29" borderId="1" xfId="0" applyFill="1" applyBorder="1" applyAlignment="1">
      <alignment vertical="center" wrapText="1"/>
    </xf>
    <xf numFmtId="0" fontId="26" fillId="30" borderId="0" xfId="2" applyFont="1" applyFill="1" applyAlignment="1">
      <alignment horizontal="center" vertical="center" wrapText="1"/>
    </xf>
    <xf numFmtId="0" fontId="0" fillId="31" borderId="1" xfId="0" applyFill="1" applyBorder="1" applyAlignment="1">
      <alignment wrapText="1"/>
    </xf>
    <xf numFmtId="0" fontId="34" fillId="31" borderId="1" xfId="0" applyFont="1" applyFill="1" applyBorder="1" applyAlignment="1">
      <alignment wrapText="1"/>
    </xf>
    <xf numFmtId="0" fontId="0" fillId="31" borderId="0" xfId="0" applyFill="1"/>
    <xf numFmtId="0" fontId="0" fillId="32" borderId="0" xfId="0" applyFill="1"/>
    <xf numFmtId="0" fontId="26" fillId="33" borderId="1" xfId="2" applyFont="1" applyFill="1" applyBorder="1" applyAlignment="1">
      <alignment horizontal="center" vertical="center" wrapText="1"/>
    </xf>
    <xf numFmtId="0" fontId="0" fillId="34" borderId="1" xfId="0" applyFill="1" applyBorder="1"/>
    <xf numFmtId="0" fontId="44" fillId="3" borderId="21" xfId="0" applyFont="1" applyFill="1" applyBorder="1" applyAlignment="1">
      <alignment horizontal="center" vertical="center" wrapText="1"/>
    </xf>
    <xf numFmtId="0" fontId="45" fillId="4" borderId="21" xfId="0" applyFont="1" applyFill="1" applyBorder="1" applyAlignment="1">
      <alignment horizontal="left" vertical="center" wrapText="1"/>
    </xf>
    <xf numFmtId="0" fontId="46" fillId="4" borderId="21" xfId="0" applyFont="1" applyFill="1" applyBorder="1" applyAlignment="1">
      <alignment horizontal="center" vertical="center" wrapText="1"/>
    </xf>
    <xf numFmtId="0" fontId="46" fillId="4" borderId="21" xfId="0" applyFont="1" applyFill="1" applyBorder="1" applyAlignment="1">
      <alignment horizontal="left" vertical="center" wrapText="1"/>
    </xf>
    <xf numFmtId="0" fontId="47" fillId="4" borderId="21" xfId="0" applyFont="1" applyFill="1" applyBorder="1" applyAlignment="1">
      <alignment horizontal="left" vertical="center" wrapText="1"/>
    </xf>
    <xf numFmtId="16" fontId="46" fillId="4" borderId="21" xfId="0" applyNumberFormat="1" applyFont="1" applyFill="1" applyBorder="1" applyAlignment="1">
      <alignment horizontal="center" vertical="center" wrapText="1"/>
    </xf>
    <xf numFmtId="0" fontId="48" fillId="4" borderId="21" xfId="0" applyFont="1" applyFill="1" applyBorder="1" applyAlignment="1">
      <alignment horizontal="left" vertical="center" wrapText="1"/>
    </xf>
    <xf numFmtId="0" fontId="44" fillId="11" borderId="21" xfId="0" applyFont="1" applyFill="1" applyBorder="1" applyAlignment="1">
      <alignment horizontal="left" vertical="center" wrapText="1"/>
    </xf>
    <xf numFmtId="0" fontId="44" fillId="11" borderId="21" xfId="0" applyFont="1" applyFill="1" applyBorder="1" applyAlignment="1">
      <alignment horizontal="center" vertical="center" wrapText="1"/>
    </xf>
    <xf numFmtId="0" fontId="44" fillId="35" borderId="21" xfId="0" applyFont="1" applyFill="1" applyBorder="1" applyAlignment="1">
      <alignment horizontal="center" vertical="center" wrapText="1"/>
    </xf>
    <xf numFmtId="0" fontId="44" fillId="35" borderId="21" xfId="0" applyFont="1" applyFill="1" applyBorder="1" applyAlignment="1">
      <alignment horizontal="left" vertical="center" wrapText="1"/>
    </xf>
    <xf numFmtId="0" fontId="44" fillId="2" borderId="2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7" fillId="2" borderId="1" xfId="0" applyFont="1" applyFill="1" applyBorder="1" applyAlignment="1">
      <alignment horizontal="center" vertic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0" fillId="0" borderId="1" xfId="0" applyBorder="1" applyAlignment="1">
      <alignment horizontal="center"/>
    </xf>
    <xf numFmtId="0" fontId="19" fillId="7" borderId="1" xfId="0" applyFont="1" applyFill="1" applyBorder="1" applyAlignment="1">
      <alignment horizontal="center" vertical="center"/>
    </xf>
    <xf numFmtId="0" fontId="5" fillId="6" borderId="0" xfId="0" applyFont="1" applyFill="1" applyAlignment="1">
      <alignment horizontal="center"/>
    </xf>
    <xf numFmtId="0" fontId="5" fillId="6" borderId="5" xfId="0" applyFont="1" applyFill="1" applyBorder="1" applyAlignment="1">
      <alignment horizont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16" fillId="0" borderId="13" xfId="0" applyFont="1" applyBorder="1" applyAlignment="1">
      <alignment horizontal="center" vertical="center"/>
    </xf>
    <xf numFmtId="0" fontId="16" fillId="0" borderId="7" xfId="0" applyFont="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3" fillId="0" borderId="1" xfId="0" applyFont="1" applyBorder="1" applyAlignment="1">
      <alignment horizontal="center" vertical="center"/>
    </xf>
    <xf numFmtId="0" fontId="11" fillId="2" borderId="0" xfId="0" applyFont="1" applyFill="1" applyAlignment="1">
      <alignment horizontal="center" vertical="center"/>
    </xf>
    <xf numFmtId="0" fontId="1" fillId="3" borderId="0" xfId="0" applyFont="1" applyFill="1" applyAlignment="1">
      <alignment horizontal="left"/>
    </xf>
    <xf numFmtId="0" fontId="0" fillId="0" borderId="15" xfId="0" applyBorder="1" applyAlignment="1">
      <alignment horizontal="center" wrapText="1"/>
    </xf>
    <xf numFmtId="0" fontId="21" fillId="0" borderId="15" xfId="0" applyFont="1" applyBorder="1" applyAlignment="1">
      <alignment horizontal="center" vertical="center" wrapText="1"/>
    </xf>
    <xf numFmtId="0" fontId="0" fillId="0" borderId="15" xfId="0" applyBorder="1" applyAlignment="1">
      <alignment horizontal="center" vertical="center"/>
    </xf>
    <xf numFmtId="0" fontId="0" fillId="0" borderId="0" xfId="0" applyAlignment="1">
      <alignment horizontal="center"/>
    </xf>
    <xf numFmtId="0" fontId="0" fillId="0" borderId="15" xfId="0" applyBorder="1" applyAlignment="1">
      <alignment horizontal="center" vertical="center" wrapText="1"/>
    </xf>
    <xf numFmtId="0" fontId="11" fillId="2" borderId="0" xfId="0" applyFont="1" applyFill="1" applyAlignment="1">
      <alignment horizontal="center"/>
    </xf>
    <xf numFmtId="0" fontId="0" fillId="3" borderId="15" xfId="0" applyFill="1" applyBorder="1" applyAlignment="1">
      <alignment horizontal="left"/>
    </xf>
    <xf numFmtId="0" fontId="26" fillId="20" borderId="2" xfId="2" applyFont="1" applyFill="1" applyBorder="1" applyAlignment="1">
      <alignment horizontal="left" vertical="center" wrapText="1"/>
    </xf>
    <xf numFmtId="0" fontId="0" fillId="29" borderId="1" xfId="0" applyFill="1" applyBorder="1" applyAlignment="1">
      <alignment horizontal="left" vertical="center" wrapText="1"/>
    </xf>
    <xf numFmtId="0" fontId="0" fillId="29" borderId="1" xfId="0" applyFill="1" applyBorder="1" applyAlignment="1">
      <alignment horizontal="left" vertical="center"/>
    </xf>
    <xf numFmtId="0" fontId="0" fillId="32" borderId="1" xfId="0" applyFill="1" applyBorder="1" applyAlignment="1">
      <alignment horizontal="left" wrapText="1"/>
    </xf>
    <xf numFmtId="0" fontId="0" fillId="32" borderId="1" xfId="0" applyFill="1" applyBorder="1" applyAlignment="1">
      <alignment horizontal="left" vertical="top" wrapText="1"/>
    </xf>
    <xf numFmtId="0" fontId="28" fillId="16" borderId="2" xfId="2" applyFont="1" applyFill="1" applyBorder="1" applyAlignment="1">
      <alignment horizontal="left" vertical="center" wrapText="1"/>
    </xf>
    <xf numFmtId="0" fontId="5" fillId="2" borderId="0" xfId="0" applyFont="1" applyFill="1" applyAlignment="1">
      <alignment horizontal="center"/>
    </xf>
    <xf numFmtId="0" fontId="33" fillId="28" borderId="18" xfId="0" applyFont="1" applyFill="1" applyBorder="1" applyAlignment="1">
      <alignment horizontal="center" vertical="center" wrapText="1"/>
    </xf>
    <xf numFmtId="0" fontId="33" fillId="28" borderId="19" xfId="0" applyFont="1" applyFill="1" applyBorder="1" applyAlignment="1">
      <alignment horizontal="center" vertical="center" wrapText="1"/>
    </xf>
    <xf numFmtId="0" fontId="38" fillId="0" borderId="1" xfId="0" applyFont="1" applyBorder="1" applyAlignment="1">
      <alignment horizontal="left" vertical="center" wrapText="1"/>
    </xf>
    <xf numFmtId="0" fontId="0" fillId="0" borderId="1" xfId="0" applyBorder="1" applyAlignment="1">
      <alignment vertical="center"/>
    </xf>
    <xf numFmtId="0" fontId="39" fillId="2" borderId="0" xfId="0" applyFont="1" applyFill="1" applyAlignment="1">
      <alignment horizontal="center" vertical="center"/>
    </xf>
    <xf numFmtId="0" fontId="0" fillId="2" borderId="0" xfId="0" applyFill="1"/>
    <xf numFmtId="0" fontId="43" fillId="2" borderId="0" xfId="0" applyFont="1" applyFill="1" applyAlignment="1">
      <alignment horizontal="center" vertical="center"/>
    </xf>
    <xf numFmtId="0" fontId="0" fillId="0" borderId="1" xfId="0" applyBorder="1" applyAlignment="1">
      <alignment horizontal="center" wrapText="1"/>
    </xf>
  </cellXfs>
  <cellStyles count="3">
    <cellStyle name="Normal" xfId="0" builtinId="0"/>
    <cellStyle name="Normal 2" xfId="2" xr:uid="{2A398EC5-3872-4208-9766-3437B0E7B3D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6D2B-B077-4A17-A9EA-A78E69664CDA}">
  <dimension ref="B1:M11"/>
  <sheetViews>
    <sheetView showGridLines="0" workbookViewId="0">
      <selection activeCell="D8" sqref="D8:E8"/>
    </sheetView>
  </sheetViews>
  <sheetFormatPr defaultRowHeight="14.4" x14ac:dyDescent="0.3"/>
  <cols>
    <col min="1" max="1" width="1.88671875" customWidth="1"/>
    <col min="2" max="2" width="13.33203125" bestFit="1" customWidth="1"/>
  </cols>
  <sheetData>
    <row r="1" spans="2:13" s="1" customFormat="1" x14ac:dyDescent="0.3"/>
    <row r="2" spans="2:13" ht="25.8" x14ac:dyDescent="0.5">
      <c r="B2" s="113" t="s">
        <v>5</v>
      </c>
      <c r="C2" s="114"/>
      <c r="D2" s="114"/>
      <c r="E2" s="114"/>
      <c r="F2" s="114"/>
      <c r="G2" s="114"/>
      <c r="H2" s="114"/>
      <c r="I2" s="114"/>
      <c r="J2" s="114"/>
      <c r="K2" s="115"/>
      <c r="L2" s="3"/>
      <c r="M2" s="3"/>
    </row>
    <row r="6" spans="2:13" ht="75" customHeight="1" x14ac:dyDescent="0.3">
      <c r="B6" s="110" t="s">
        <v>0</v>
      </c>
      <c r="C6" s="111"/>
      <c r="D6" s="110" t="s">
        <v>3</v>
      </c>
      <c r="E6" s="111"/>
      <c r="F6" s="110" t="s">
        <v>4</v>
      </c>
      <c r="G6" s="111"/>
      <c r="H6" s="110" t="s">
        <v>6</v>
      </c>
      <c r="I6" s="111"/>
      <c r="J6" s="110" t="s">
        <v>9</v>
      </c>
      <c r="K6" s="111"/>
    </row>
    <row r="7" spans="2:13" ht="47.4" customHeight="1" x14ac:dyDescent="0.3">
      <c r="B7" s="112" t="s">
        <v>2</v>
      </c>
      <c r="C7" s="112"/>
      <c r="D7" s="112" t="s">
        <v>7</v>
      </c>
      <c r="E7" s="112"/>
      <c r="F7" s="112" t="s">
        <v>12</v>
      </c>
      <c r="G7" s="112"/>
      <c r="H7" s="112" t="s">
        <v>10</v>
      </c>
      <c r="I7" s="112"/>
      <c r="J7" s="112" t="s">
        <v>13</v>
      </c>
      <c r="K7" s="112"/>
    </row>
    <row r="8" spans="2:13" ht="27.6" customHeight="1" x14ac:dyDescent="0.3">
      <c r="B8" s="108" t="s">
        <v>1</v>
      </c>
      <c r="C8" s="108"/>
      <c r="D8" s="108" t="s">
        <v>8</v>
      </c>
      <c r="E8" s="108"/>
      <c r="F8" s="108" t="s">
        <v>1</v>
      </c>
      <c r="G8" s="108"/>
      <c r="H8" s="108" t="s">
        <v>11</v>
      </c>
      <c r="I8" s="108"/>
      <c r="J8" s="108" t="s">
        <v>14</v>
      </c>
      <c r="K8" s="108"/>
    </row>
    <row r="9" spans="2:13" ht="28.8" customHeight="1" x14ac:dyDescent="0.3">
      <c r="J9" s="109" t="s">
        <v>15</v>
      </c>
      <c r="K9" s="109"/>
    </row>
    <row r="10" spans="2:13" x14ac:dyDescent="0.3">
      <c r="J10" s="109"/>
      <c r="K10" s="109"/>
    </row>
    <row r="11" spans="2:13" x14ac:dyDescent="0.3">
      <c r="H11" s="2"/>
    </row>
  </sheetData>
  <mergeCells count="17">
    <mergeCell ref="B6:C6"/>
    <mergeCell ref="B7:C7"/>
    <mergeCell ref="D6:E6"/>
    <mergeCell ref="D7:E7"/>
    <mergeCell ref="B2:K2"/>
    <mergeCell ref="F6:G6"/>
    <mergeCell ref="H6:I6"/>
    <mergeCell ref="J6:K6"/>
    <mergeCell ref="F7:G7"/>
    <mergeCell ref="H7:I7"/>
    <mergeCell ref="J7:K7"/>
    <mergeCell ref="F8:G8"/>
    <mergeCell ref="H8:I8"/>
    <mergeCell ref="J8:K8"/>
    <mergeCell ref="J9:K10"/>
    <mergeCell ref="B8:C8"/>
    <mergeCell ref="D8: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885E-FD6B-4E2D-94B0-2BFB9FB7AB3C}">
  <dimension ref="B5:L40"/>
  <sheetViews>
    <sheetView showGridLines="0" topLeftCell="E6" zoomScale="92" workbookViewId="0">
      <selection activeCell="E35" sqref="E35"/>
    </sheetView>
  </sheetViews>
  <sheetFormatPr defaultRowHeight="14.4" x14ac:dyDescent="0.3"/>
  <cols>
    <col min="1" max="1" width="2" customWidth="1"/>
    <col min="2" max="2" width="34.44140625" bestFit="1" customWidth="1"/>
    <col min="3" max="3" width="33.21875" bestFit="1" customWidth="1"/>
    <col min="4" max="4" width="35.44140625" customWidth="1"/>
    <col min="5" max="5" width="36.5546875" customWidth="1"/>
    <col min="6" max="7" width="40.109375" bestFit="1" customWidth="1"/>
    <col min="8" max="8" width="23.33203125" bestFit="1" customWidth="1"/>
    <col min="9" max="9" width="46.44140625" bestFit="1" customWidth="1"/>
    <col min="10" max="10" width="20.33203125" bestFit="1" customWidth="1"/>
  </cols>
  <sheetData>
    <row r="5" spans="2:12" ht="21" x14ac:dyDescent="0.3">
      <c r="B5" s="129" t="s">
        <v>16</v>
      </c>
      <c r="C5" s="130"/>
      <c r="D5" s="130"/>
      <c r="E5" s="130"/>
      <c r="F5" s="130"/>
      <c r="G5" s="130"/>
      <c r="H5" s="130"/>
      <c r="I5" s="131"/>
      <c r="J5" s="7"/>
      <c r="K5" s="7"/>
      <c r="L5" s="7"/>
    </row>
    <row r="8" spans="2:12" ht="18" x14ac:dyDescent="0.35">
      <c r="B8" s="118" t="s">
        <v>22</v>
      </c>
      <c r="C8" s="118"/>
      <c r="D8" s="118"/>
      <c r="E8" s="118"/>
      <c r="F8" s="118"/>
      <c r="G8" s="118"/>
      <c r="H8" s="118"/>
      <c r="I8" s="119"/>
      <c r="J8" s="11"/>
      <c r="K8" s="8"/>
    </row>
    <row r="10" spans="2:12" x14ac:dyDescent="0.3">
      <c r="B10" s="9" t="s">
        <v>17</v>
      </c>
      <c r="C10" s="18">
        <v>2021</v>
      </c>
      <c r="D10" s="10">
        <v>2022</v>
      </c>
      <c r="E10" s="10">
        <v>2023</v>
      </c>
      <c r="F10" s="10">
        <v>2024</v>
      </c>
      <c r="G10" s="10">
        <v>2025</v>
      </c>
      <c r="H10" s="10" t="s">
        <v>45</v>
      </c>
      <c r="I10" s="10" t="s">
        <v>46</v>
      </c>
      <c r="J10" s="19"/>
    </row>
    <row r="11" spans="2:12" x14ac:dyDescent="0.3">
      <c r="B11" s="5" t="s">
        <v>52</v>
      </c>
      <c r="C11" s="21">
        <v>942</v>
      </c>
      <c r="D11" s="22">
        <v>1185</v>
      </c>
      <c r="E11" s="22">
        <v>1632</v>
      </c>
      <c r="F11" s="22">
        <v>2247</v>
      </c>
      <c r="G11" s="23" t="s">
        <v>47</v>
      </c>
      <c r="H11" s="23" t="s">
        <v>49</v>
      </c>
      <c r="I11" s="23" t="s">
        <v>50</v>
      </c>
      <c r="J11" s="20"/>
    </row>
    <row r="12" spans="2:12" x14ac:dyDescent="0.3">
      <c r="B12" s="6" t="s">
        <v>19</v>
      </c>
      <c r="C12" s="21">
        <v>175</v>
      </c>
      <c r="D12" s="22">
        <v>240</v>
      </c>
      <c r="E12" s="22">
        <v>447</v>
      </c>
      <c r="F12" s="22">
        <v>582</v>
      </c>
      <c r="G12" s="23" t="s">
        <v>58</v>
      </c>
      <c r="H12" s="23" t="s">
        <v>59</v>
      </c>
      <c r="I12" s="23" t="s">
        <v>60</v>
      </c>
      <c r="J12" s="20"/>
    </row>
    <row r="13" spans="2:12" x14ac:dyDescent="0.3">
      <c r="B13" s="5" t="s">
        <v>51</v>
      </c>
      <c r="C13" s="27" t="s">
        <v>48</v>
      </c>
      <c r="D13" s="27" t="s">
        <v>53</v>
      </c>
      <c r="E13" s="27" t="s">
        <v>54</v>
      </c>
      <c r="F13" s="27" t="s">
        <v>55</v>
      </c>
      <c r="G13" s="27" t="s">
        <v>56</v>
      </c>
      <c r="H13" s="27" t="s">
        <v>57</v>
      </c>
      <c r="I13" s="28" t="s">
        <v>57</v>
      </c>
      <c r="J13" s="20"/>
    </row>
    <row r="14" spans="2:12" x14ac:dyDescent="0.3">
      <c r="B14" s="6" t="s">
        <v>18</v>
      </c>
      <c r="C14" s="24">
        <v>3.6999999999999998E-2</v>
      </c>
      <c r="D14" s="25">
        <v>4.4999999999999998E-2</v>
      </c>
      <c r="E14" s="25">
        <v>5.5E-2</v>
      </c>
      <c r="F14" s="25">
        <v>6.9000000000000006E-2</v>
      </c>
      <c r="G14" s="25">
        <v>8.6999999999999994E-2</v>
      </c>
      <c r="H14" s="23" t="s">
        <v>66</v>
      </c>
      <c r="I14" s="23" t="s">
        <v>68</v>
      </c>
      <c r="K14" s="2"/>
    </row>
    <row r="15" spans="2:12" x14ac:dyDescent="0.3">
      <c r="B15" s="6" t="s">
        <v>61</v>
      </c>
      <c r="C15" s="28" t="s">
        <v>62</v>
      </c>
      <c r="D15" s="28" t="s">
        <v>62</v>
      </c>
      <c r="E15" s="28" t="s">
        <v>63</v>
      </c>
      <c r="F15" s="28" t="s">
        <v>64</v>
      </c>
      <c r="G15" s="28" t="s">
        <v>65</v>
      </c>
      <c r="H15" s="28" t="s">
        <v>67</v>
      </c>
      <c r="I15" s="28" t="s">
        <v>69</v>
      </c>
      <c r="K15" s="2"/>
    </row>
    <row r="16" spans="2:12" x14ac:dyDescent="0.3">
      <c r="B16" s="6" t="s">
        <v>31</v>
      </c>
      <c r="C16" s="21">
        <v>55</v>
      </c>
      <c r="D16" s="22">
        <v>87.4</v>
      </c>
      <c r="E16" s="22">
        <v>216.9</v>
      </c>
      <c r="F16" s="22">
        <v>277.2</v>
      </c>
      <c r="G16" s="22">
        <v>368</v>
      </c>
      <c r="H16" s="23" t="s">
        <v>70</v>
      </c>
      <c r="I16" s="23" t="s">
        <v>71</v>
      </c>
    </row>
    <row r="17" spans="2:9" x14ac:dyDescent="0.3">
      <c r="B17" s="6" t="s">
        <v>30</v>
      </c>
      <c r="C17" s="14">
        <v>10</v>
      </c>
      <c r="D17" s="4">
        <v>13.9</v>
      </c>
      <c r="E17" s="4">
        <v>10</v>
      </c>
      <c r="F17" s="4">
        <v>24.5</v>
      </c>
      <c r="G17" s="4">
        <v>48.3</v>
      </c>
      <c r="H17" s="26" t="s">
        <v>72</v>
      </c>
      <c r="I17" s="26" t="s">
        <v>73</v>
      </c>
    </row>
    <row r="18" spans="2:9" x14ac:dyDescent="0.3">
      <c r="B18" s="6" t="s">
        <v>20</v>
      </c>
      <c r="C18" s="14">
        <v>28.1</v>
      </c>
      <c r="D18" s="4">
        <v>41.4</v>
      </c>
      <c r="E18" s="4">
        <v>55.9</v>
      </c>
      <c r="F18" s="4">
        <v>65.599999999999994</v>
      </c>
      <c r="G18" s="4">
        <v>68.7</v>
      </c>
      <c r="H18" s="26" t="s">
        <v>77</v>
      </c>
      <c r="I18" s="26" t="s">
        <v>78</v>
      </c>
    </row>
    <row r="19" spans="2:9" x14ac:dyDescent="0.3">
      <c r="B19" s="6" t="s">
        <v>21</v>
      </c>
      <c r="C19" s="14">
        <v>23.6</v>
      </c>
      <c r="D19" s="4">
        <v>20.2</v>
      </c>
      <c r="E19" s="4">
        <v>32.4</v>
      </c>
      <c r="F19" s="4">
        <v>50</v>
      </c>
      <c r="G19" s="4">
        <v>43.2</v>
      </c>
      <c r="H19" s="26" t="s">
        <v>76</v>
      </c>
      <c r="I19" s="26" t="s">
        <v>73</v>
      </c>
    </row>
    <row r="20" spans="2:9" x14ac:dyDescent="0.3">
      <c r="B20" s="30" t="s">
        <v>79</v>
      </c>
      <c r="C20" s="132" t="s">
        <v>84</v>
      </c>
      <c r="D20" s="132"/>
      <c r="E20" s="132"/>
      <c r="F20" s="132"/>
      <c r="G20" s="132"/>
      <c r="H20" s="132"/>
      <c r="I20" s="132"/>
    </row>
    <row r="21" spans="2:9" x14ac:dyDescent="0.3">
      <c r="C21" s="132"/>
      <c r="D21" s="132"/>
      <c r="E21" s="132"/>
      <c r="F21" s="132"/>
      <c r="G21" s="132"/>
      <c r="H21" s="132"/>
      <c r="I21" s="132"/>
    </row>
    <row r="23" spans="2:9" ht="18" x14ac:dyDescent="0.35">
      <c r="B23" s="118" t="s">
        <v>23</v>
      </c>
      <c r="C23" s="118"/>
      <c r="D23" s="118"/>
      <c r="E23" s="118"/>
      <c r="F23" s="118"/>
      <c r="G23" s="118"/>
      <c r="H23" s="118"/>
      <c r="I23" s="119"/>
    </row>
    <row r="25" spans="2:9" x14ac:dyDescent="0.3">
      <c r="B25" s="9" t="s">
        <v>24</v>
      </c>
      <c r="C25" s="10" t="s">
        <v>25</v>
      </c>
      <c r="D25" s="10" t="s">
        <v>26</v>
      </c>
      <c r="E25" s="10" t="s">
        <v>27</v>
      </c>
      <c r="F25" s="10" t="s">
        <v>28</v>
      </c>
      <c r="G25" s="10" t="s">
        <v>29</v>
      </c>
      <c r="H25" s="10" t="s">
        <v>38</v>
      </c>
      <c r="I25" s="10" t="s">
        <v>39</v>
      </c>
    </row>
    <row r="26" spans="2:9" x14ac:dyDescent="0.3">
      <c r="B26" s="6" t="s">
        <v>32</v>
      </c>
      <c r="C26" s="17">
        <v>5.6288</v>
      </c>
      <c r="D26" s="4">
        <v>12.7605</v>
      </c>
      <c r="E26" s="4">
        <v>12.783799999999999</v>
      </c>
      <c r="F26" s="4">
        <v>15.033200000000001</v>
      </c>
      <c r="G26" s="4">
        <v>23.832899999999999</v>
      </c>
      <c r="H26" s="4"/>
      <c r="I26" s="4"/>
    </row>
    <row r="27" spans="2:9" ht="14.4" customHeight="1" x14ac:dyDescent="0.3">
      <c r="B27" s="16" t="s">
        <v>41</v>
      </c>
      <c r="C27" s="120" t="s">
        <v>42</v>
      </c>
      <c r="D27" s="121"/>
      <c r="E27" s="121"/>
      <c r="F27" s="121"/>
      <c r="G27" s="122"/>
      <c r="H27" s="4">
        <v>117.36</v>
      </c>
      <c r="I27" s="15"/>
    </row>
    <row r="28" spans="2:9" ht="14.4" customHeight="1" x14ac:dyDescent="0.3">
      <c r="B28" s="12" t="s">
        <v>33</v>
      </c>
      <c r="C28" s="123"/>
      <c r="D28" s="124"/>
      <c r="E28" s="124"/>
      <c r="F28" s="124"/>
      <c r="G28" s="125"/>
      <c r="H28" s="4">
        <v>26.75</v>
      </c>
      <c r="I28" s="4"/>
    </row>
    <row r="29" spans="2:9" ht="14.4" customHeight="1" x14ac:dyDescent="0.3">
      <c r="B29" s="12" t="s">
        <v>44</v>
      </c>
      <c r="C29" s="123"/>
      <c r="D29" s="124"/>
      <c r="E29" s="124"/>
      <c r="F29" s="124"/>
      <c r="G29" s="125"/>
      <c r="H29" s="4">
        <v>6.17</v>
      </c>
      <c r="I29" s="4"/>
    </row>
    <row r="30" spans="2:9" x14ac:dyDescent="0.3">
      <c r="B30" s="12" t="s">
        <v>43</v>
      </c>
      <c r="C30" s="126"/>
      <c r="D30" s="127"/>
      <c r="E30" s="127"/>
      <c r="F30" s="127"/>
      <c r="G30" s="128"/>
      <c r="H30" s="4">
        <v>3.96</v>
      </c>
      <c r="I30" s="4"/>
    </row>
    <row r="31" spans="2:9" x14ac:dyDescent="0.3">
      <c r="B31" s="6" t="s">
        <v>34</v>
      </c>
      <c r="C31" s="4">
        <v>3077</v>
      </c>
      <c r="D31" s="4">
        <v>3372</v>
      </c>
      <c r="E31" s="4">
        <v>3870</v>
      </c>
      <c r="F31" s="4">
        <v>4457</v>
      </c>
      <c r="G31" s="4">
        <v>5149</v>
      </c>
      <c r="H31" s="26" t="s">
        <v>105</v>
      </c>
      <c r="I31" s="26" t="s">
        <v>106</v>
      </c>
    </row>
    <row r="32" spans="2:9" x14ac:dyDescent="0.3">
      <c r="B32" s="6" t="s">
        <v>35</v>
      </c>
      <c r="C32" s="32">
        <f>843/C31</f>
        <v>0.2739681507962301</v>
      </c>
      <c r="D32" s="32">
        <f>1053/D31</f>
        <v>0.3122775800711744</v>
      </c>
      <c r="E32" s="32">
        <f>1419/E31</f>
        <v>0.36666666666666664</v>
      </c>
      <c r="F32" s="32">
        <f>1865/F31</f>
        <v>0.41844289881085933</v>
      </c>
      <c r="G32" s="32">
        <f>2376/G31</f>
        <v>0.46144882501456591</v>
      </c>
      <c r="H32" s="32">
        <f>2650/5700</f>
        <v>0.46491228070175439</v>
      </c>
      <c r="I32" s="32">
        <f>5200/9749</f>
        <v>0.53338803979895377</v>
      </c>
    </row>
    <row r="33" spans="2:9" x14ac:dyDescent="0.3">
      <c r="B33" s="6" t="s">
        <v>36</v>
      </c>
      <c r="C33" s="4">
        <v>257</v>
      </c>
      <c r="D33" s="4">
        <v>295</v>
      </c>
      <c r="E33" s="4">
        <v>473</v>
      </c>
      <c r="F33" s="4">
        <v>585</v>
      </c>
      <c r="G33" s="4">
        <v>692</v>
      </c>
      <c r="H33" s="4">
        <v>550</v>
      </c>
      <c r="I33" s="6" t="s">
        <v>107</v>
      </c>
    </row>
    <row r="34" spans="2:9" x14ac:dyDescent="0.3">
      <c r="B34" s="116" t="s">
        <v>37</v>
      </c>
      <c r="C34" s="116"/>
      <c r="D34" s="116"/>
      <c r="E34" s="116"/>
      <c r="F34" s="116"/>
      <c r="G34" s="116"/>
      <c r="H34" s="33" t="s">
        <v>108</v>
      </c>
      <c r="I34" s="4"/>
    </row>
    <row r="36" spans="2:9" ht="28.8" x14ac:dyDescent="0.3">
      <c r="B36" s="13" t="s">
        <v>40</v>
      </c>
      <c r="C36" s="117" t="s">
        <v>109</v>
      </c>
      <c r="D36" s="117"/>
      <c r="E36" s="117"/>
      <c r="F36" s="117"/>
      <c r="G36" s="117"/>
      <c r="H36" s="117"/>
      <c r="I36" s="117"/>
    </row>
    <row r="39" spans="2:9" x14ac:dyDescent="0.3">
      <c r="B39" s="4" t="s">
        <v>74</v>
      </c>
    </row>
    <row r="40" spans="2:9" ht="238.8" customHeight="1" x14ac:dyDescent="0.3">
      <c r="B40" s="29" t="s">
        <v>75</v>
      </c>
      <c r="C40" s="29" t="s">
        <v>83</v>
      </c>
      <c r="D40" s="29" t="s">
        <v>80</v>
      </c>
      <c r="E40" s="29" t="s">
        <v>81</v>
      </c>
      <c r="F40" s="29" t="s">
        <v>82</v>
      </c>
      <c r="G40" s="35" t="s">
        <v>110</v>
      </c>
    </row>
  </sheetData>
  <mergeCells count="7">
    <mergeCell ref="B34:G34"/>
    <mergeCell ref="C36:I36"/>
    <mergeCell ref="B23:I23"/>
    <mergeCell ref="C27:G30"/>
    <mergeCell ref="B5:I5"/>
    <mergeCell ref="B8:I8"/>
    <mergeCell ref="C20:I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B0CE-042B-47B1-B348-722778C51B31}">
  <dimension ref="B2:Q34"/>
  <sheetViews>
    <sheetView showGridLines="0" topLeftCell="B23" zoomScale="78" workbookViewId="0">
      <selection activeCell="D24" sqref="D24"/>
    </sheetView>
  </sheetViews>
  <sheetFormatPr defaultRowHeight="14.4" x14ac:dyDescent="0.3"/>
  <cols>
    <col min="1" max="1" width="1.88671875" customWidth="1"/>
    <col min="2" max="2" width="33.21875" bestFit="1" customWidth="1"/>
    <col min="3" max="3" width="30.5546875" customWidth="1"/>
    <col min="4" max="4" width="32.33203125" customWidth="1"/>
    <col min="5" max="5" width="28.44140625" customWidth="1"/>
    <col min="6" max="6" width="16.21875" customWidth="1"/>
    <col min="7" max="7" width="22.77734375" customWidth="1"/>
  </cols>
  <sheetData>
    <row r="2" spans="2:16" ht="21" x14ac:dyDescent="0.3">
      <c r="B2" s="133" t="s">
        <v>85</v>
      </c>
      <c r="C2" s="133"/>
      <c r="D2" s="133"/>
      <c r="E2" s="133"/>
      <c r="F2" s="133"/>
      <c r="G2" s="133"/>
      <c r="H2" s="133"/>
      <c r="I2" s="133"/>
      <c r="J2" s="133"/>
      <c r="K2" s="133"/>
      <c r="L2" s="133"/>
      <c r="M2" s="133"/>
      <c r="N2" s="133"/>
      <c r="O2" s="133"/>
      <c r="P2" s="133"/>
    </row>
    <row r="4" spans="2:16" x14ac:dyDescent="0.3">
      <c r="B4" s="134" t="s">
        <v>86</v>
      </c>
      <c r="C4" s="134"/>
      <c r="D4" s="134"/>
      <c r="E4" s="134"/>
      <c r="F4" s="134"/>
      <c r="G4" s="134"/>
      <c r="H4" s="134"/>
      <c r="I4" s="134"/>
      <c r="J4" s="134"/>
      <c r="K4" s="134"/>
      <c r="L4" s="134"/>
      <c r="M4" s="134"/>
      <c r="N4" s="134"/>
      <c r="O4" s="134"/>
      <c r="P4" s="134"/>
    </row>
    <row r="5" spans="2:16" ht="15" thickBot="1" x14ac:dyDescent="0.35"/>
    <row r="6" spans="2:16" ht="15" thickBot="1" x14ac:dyDescent="0.35">
      <c r="B6" s="43" t="s">
        <v>87</v>
      </c>
      <c r="C6" s="10" t="s">
        <v>28</v>
      </c>
      <c r="D6" s="10" t="s">
        <v>29</v>
      </c>
      <c r="E6" s="10" t="s">
        <v>88</v>
      </c>
      <c r="F6" s="10" t="s">
        <v>89</v>
      </c>
      <c r="G6" s="10" t="s">
        <v>90</v>
      </c>
      <c r="I6" s="135" t="s">
        <v>128</v>
      </c>
      <c r="J6" s="135"/>
      <c r="K6" s="135"/>
      <c r="L6" s="135"/>
      <c r="M6" s="135"/>
      <c r="N6" s="135"/>
      <c r="O6" s="135"/>
      <c r="P6" s="135"/>
    </row>
    <row r="7" spans="2:16" ht="15" thickBot="1" x14ac:dyDescent="0.35">
      <c r="B7" s="31" t="s">
        <v>91</v>
      </c>
      <c r="C7" s="31">
        <v>9.4</v>
      </c>
      <c r="D7" s="31">
        <v>17.399999999999999</v>
      </c>
      <c r="E7" s="31">
        <v>34.799999999999997</v>
      </c>
      <c r="F7" s="34" t="s">
        <v>111</v>
      </c>
      <c r="G7" s="34" t="s">
        <v>112</v>
      </c>
      <c r="I7" s="135"/>
      <c r="J7" s="135"/>
      <c r="K7" s="135"/>
      <c r="L7" s="135"/>
      <c r="M7" s="135"/>
      <c r="N7" s="135"/>
      <c r="O7" s="135"/>
      <c r="P7" s="135"/>
    </row>
    <row r="8" spans="2:16" ht="15" thickBot="1" x14ac:dyDescent="0.35">
      <c r="B8" s="31" t="s">
        <v>92</v>
      </c>
      <c r="C8" s="31">
        <v>0.9</v>
      </c>
      <c r="D8" s="31">
        <v>1.6</v>
      </c>
      <c r="E8" s="34" t="s">
        <v>113</v>
      </c>
      <c r="F8" s="34" t="s">
        <v>114</v>
      </c>
      <c r="G8" s="34" t="s">
        <v>115</v>
      </c>
      <c r="I8" s="135"/>
      <c r="J8" s="135"/>
      <c r="K8" s="135"/>
      <c r="L8" s="135"/>
      <c r="M8" s="135"/>
      <c r="N8" s="135"/>
      <c r="O8" s="135"/>
      <c r="P8" s="135"/>
    </row>
    <row r="9" spans="2:16" ht="15" thickBot="1" x14ac:dyDescent="0.35">
      <c r="B9" s="31" t="s">
        <v>93</v>
      </c>
      <c r="C9" s="31">
        <v>2.5</v>
      </c>
      <c r="D9" s="31">
        <v>3.6</v>
      </c>
      <c r="E9" s="31">
        <v>7.5</v>
      </c>
      <c r="F9" s="34" t="s">
        <v>116</v>
      </c>
      <c r="G9" s="34" t="s">
        <v>117</v>
      </c>
      <c r="I9" s="135"/>
      <c r="J9" s="135"/>
      <c r="K9" s="135"/>
      <c r="L9" s="135"/>
      <c r="M9" s="135"/>
      <c r="N9" s="135"/>
      <c r="O9" s="135"/>
      <c r="P9" s="135"/>
    </row>
    <row r="10" spans="2:16" ht="15" thickBot="1" x14ac:dyDescent="0.35">
      <c r="B10" s="31" t="s">
        <v>94</v>
      </c>
      <c r="C10" s="31">
        <v>2</v>
      </c>
      <c r="D10" s="31">
        <v>1.1000000000000001</v>
      </c>
      <c r="E10" s="31">
        <v>7.5</v>
      </c>
      <c r="F10" s="34" t="s">
        <v>118</v>
      </c>
      <c r="G10" s="34" t="s">
        <v>119</v>
      </c>
      <c r="I10" s="135"/>
      <c r="J10" s="135"/>
      <c r="K10" s="135"/>
      <c r="L10" s="135"/>
      <c r="M10" s="135"/>
      <c r="N10" s="135"/>
      <c r="O10" s="135"/>
      <c r="P10" s="135"/>
    </row>
    <row r="11" spans="2:16" ht="15" thickBot="1" x14ac:dyDescent="0.35">
      <c r="B11" s="31" t="s">
        <v>95</v>
      </c>
      <c r="C11" s="31">
        <v>0.2</v>
      </c>
      <c r="D11" s="31">
        <v>0.2</v>
      </c>
      <c r="E11" s="34" t="s">
        <v>120</v>
      </c>
      <c r="F11" s="34" t="s">
        <v>121</v>
      </c>
      <c r="G11" s="34" t="s">
        <v>122</v>
      </c>
      <c r="I11" s="135"/>
      <c r="J11" s="135"/>
      <c r="K11" s="135"/>
      <c r="L11" s="135"/>
      <c r="M11" s="135"/>
      <c r="N11" s="135"/>
      <c r="O11" s="135"/>
      <c r="P11" s="135"/>
    </row>
    <row r="12" spans="2:16" ht="28.8" customHeight="1" thickBot="1" x14ac:dyDescent="0.35">
      <c r="B12" s="31" t="s">
        <v>96</v>
      </c>
      <c r="C12" s="34" t="s">
        <v>123</v>
      </c>
      <c r="D12" s="34" t="s">
        <v>124</v>
      </c>
      <c r="E12" s="34" t="s">
        <v>125</v>
      </c>
      <c r="F12" s="34" t="s">
        <v>126</v>
      </c>
      <c r="G12" s="34" t="s">
        <v>127</v>
      </c>
      <c r="I12" s="135"/>
      <c r="J12" s="135"/>
      <c r="K12" s="135"/>
      <c r="L12" s="135"/>
      <c r="M12" s="135"/>
      <c r="N12" s="135"/>
      <c r="O12" s="135"/>
      <c r="P12" s="135"/>
    </row>
    <row r="14" spans="2:16" x14ac:dyDescent="0.3">
      <c r="B14" s="134" t="s">
        <v>97</v>
      </c>
      <c r="C14" s="134"/>
      <c r="D14" s="134"/>
      <c r="E14" s="134"/>
      <c r="F14" s="134"/>
      <c r="G14" s="134"/>
      <c r="H14" s="134"/>
      <c r="I14" s="134"/>
      <c r="J14" s="134"/>
      <c r="K14" s="134"/>
      <c r="L14" s="134"/>
      <c r="M14" s="134"/>
      <c r="N14" s="134"/>
      <c r="O14" s="134"/>
      <c r="P14" s="134"/>
    </row>
    <row r="16" spans="2:16" ht="15.6" customHeight="1" x14ac:dyDescent="0.3">
      <c r="B16" s="37"/>
      <c r="C16" s="37"/>
      <c r="D16" s="37"/>
      <c r="E16" s="37"/>
      <c r="F16" s="37"/>
      <c r="G16" s="37"/>
    </row>
    <row r="17" spans="2:17" ht="27.6" customHeight="1" thickBot="1" x14ac:dyDescent="0.35">
      <c r="B17" s="42" t="s">
        <v>144</v>
      </c>
      <c r="C17" s="42" t="s">
        <v>145</v>
      </c>
      <c r="D17" s="42" t="s">
        <v>146</v>
      </c>
      <c r="E17" s="42" t="s">
        <v>147</v>
      </c>
      <c r="F17" s="42" t="s">
        <v>148</v>
      </c>
      <c r="G17" s="42" t="s">
        <v>149</v>
      </c>
    </row>
    <row r="18" spans="2:17" ht="187.8" customHeight="1" thickBot="1" x14ac:dyDescent="0.35">
      <c r="B18" s="38" t="s">
        <v>150</v>
      </c>
      <c r="C18" s="38" t="s">
        <v>129</v>
      </c>
      <c r="D18" s="38" t="s">
        <v>130</v>
      </c>
      <c r="E18" s="38" t="s">
        <v>131</v>
      </c>
      <c r="F18" s="38" t="s">
        <v>132</v>
      </c>
      <c r="G18" s="38" t="s">
        <v>133</v>
      </c>
      <c r="I18" s="139" t="s">
        <v>177</v>
      </c>
      <c r="J18" s="139"/>
      <c r="K18" s="139"/>
      <c r="L18" s="139"/>
      <c r="M18" s="139"/>
      <c r="N18" s="139"/>
      <c r="O18" s="139"/>
      <c r="P18" s="139"/>
      <c r="Q18" s="139"/>
    </row>
    <row r="19" spans="2:17" ht="300.60000000000002" customHeight="1" thickBot="1" x14ac:dyDescent="0.35">
      <c r="B19" s="38" t="s">
        <v>151</v>
      </c>
      <c r="C19" s="38" t="s">
        <v>134</v>
      </c>
      <c r="D19" s="38" t="s">
        <v>135</v>
      </c>
      <c r="E19" s="38" t="s">
        <v>136</v>
      </c>
      <c r="F19" s="38" t="s">
        <v>137</v>
      </c>
      <c r="G19" s="38" t="s">
        <v>138</v>
      </c>
      <c r="I19" s="139" t="s">
        <v>495</v>
      </c>
      <c r="J19" s="139"/>
      <c r="K19" s="139"/>
      <c r="L19" s="139"/>
      <c r="M19" s="139"/>
      <c r="N19" s="139"/>
      <c r="O19" s="139"/>
      <c r="P19" s="139"/>
      <c r="Q19" s="139"/>
    </row>
    <row r="20" spans="2:17" ht="264.60000000000002" customHeight="1" thickBot="1" x14ac:dyDescent="0.35">
      <c r="B20" s="38" t="s">
        <v>152</v>
      </c>
      <c r="C20" s="38" t="s">
        <v>139</v>
      </c>
      <c r="D20" s="38" t="s">
        <v>140</v>
      </c>
      <c r="E20" s="38" t="s">
        <v>141</v>
      </c>
      <c r="F20" s="38" t="s">
        <v>142</v>
      </c>
      <c r="G20" s="38" t="s">
        <v>143</v>
      </c>
      <c r="I20" s="139" t="s">
        <v>178</v>
      </c>
      <c r="J20" s="137"/>
      <c r="K20" s="137"/>
      <c r="L20" s="137"/>
      <c r="M20" s="137"/>
      <c r="N20" s="137"/>
      <c r="O20" s="137"/>
      <c r="P20" s="137"/>
      <c r="Q20" s="137"/>
    </row>
    <row r="21" spans="2:17" ht="220.2" customHeight="1" x14ac:dyDescent="0.3">
      <c r="B21" s="38" t="s">
        <v>153</v>
      </c>
      <c r="C21" s="38" t="s">
        <v>154</v>
      </c>
      <c r="D21" s="38" t="s">
        <v>155</v>
      </c>
      <c r="E21" s="38" t="s">
        <v>156</v>
      </c>
      <c r="F21" s="38" t="s">
        <v>157</v>
      </c>
      <c r="G21" s="38" t="s">
        <v>158</v>
      </c>
    </row>
    <row r="22" spans="2:17" ht="250.8" customHeight="1" x14ac:dyDescent="0.3">
      <c r="B22" s="38" t="s">
        <v>159</v>
      </c>
      <c r="C22" s="38" t="s">
        <v>160</v>
      </c>
      <c r="D22" s="38" t="s">
        <v>161</v>
      </c>
      <c r="E22" s="38" t="s">
        <v>162</v>
      </c>
      <c r="F22" s="38" t="s">
        <v>163</v>
      </c>
      <c r="G22" s="38" t="s">
        <v>164</v>
      </c>
    </row>
    <row r="23" spans="2:17" ht="249" customHeight="1" x14ac:dyDescent="0.3">
      <c r="B23" s="38" t="s">
        <v>165</v>
      </c>
      <c r="C23" s="38" t="s">
        <v>166</v>
      </c>
      <c r="D23" s="38" t="s">
        <v>167</v>
      </c>
      <c r="E23" s="38" t="s">
        <v>168</v>
      </c>
      <c r="F23" s="38" t="s">
        <v>169</v>
      </c>
      <c r="G23" s="38" t="s">
        <v>170</v>
      </c>
    </row>
    <row r="24" spans="2:17" ht="281.39999999999998" customHeight="1" thickBot="1" x14ac:dyDescent="0.35">
      <c r="B24" s="40" t="s">
        <v>171</v>
      </c>
      <c r="C24" s="40" t="s">
        <v>172</v>
      </c>
      <c r="D24" s="40" t="s">
        <v>173</v>
      </c>
      <c r="E24" s="40" t="s">
        <v>174</v>
      </c>
      <c r="F24" s="40" t="s">
        <v>175</v>
      </c>
      <c r="G24" s="40" t="s">
        <v>176</v>
      </c>
      <c r="H24" s="39"/>
      <c r="I24" s="39"/>
      <c r="J24" s="39"/>
      <c r="K24" s="39"/>
      <c r="L24" s="39"/>
      <c r="M24" s="39"/>
      <c r="N24" s="39"/>
      <c r="O24" s="39"/>
      <c r="P24" s="39"/>
    </row>
    <row r="25" spans="2:17" ht="14.4" customHeight="1" x14ac:dyDescent="0.3">
      <c r="B25" s="41"/>
      <c r="C25" s="41"/>
      <c r="D25" s="41"/>
      <c r="E25" s="41"/>
      <c r="F25" s="41"/>
      <c r="G25" s="41"/>
    </row>
    <row r="28" spans="2:17" ht="15" thickBot="1" x14ac:dyDescent="0.35"/>
    <row r="29" spans="2:17" ht="15" thickBot="1" x14ac:dyDescent="0.35">
      <c r="B29" s="45" t="s">
        <v>98</v>
      </c>
      <c r="C29" s="45" t="s">
        <v>179</v>
      </c>
      <c r="D29" s="45" t="s">
        <v>99</v>
      </c>
      <c r="E29" s="45" t="s">
        <v>100</v>
      </c>
      <c r="F29" s="45" t="s">
        <v>101</v>
      </c>
      <c r="G29" s="45" t="s">
        <v>102</v>
      </c>
    </row>
    <row r="30" spans="2:17" ht="94.2" customHeight="1" thickBot="1" x14ac:dyDescent="0.35">
      <c r="B30" s="44" t="s">
        <v>180</v>
      </c>
      <c r="C30" s="44" t="s">
        <v>181</v>
      </c>
      <c r="D30" s="44" t="s">
        <v>182</v>
      </c>
      <c r="E30" s="44" t="s">
        <v>183</v>
      </c>
      <c r="F30" s="44" t="s">
        <v>184</v>
      </c>
      <c r="G30" s="44" t="s">
        <v>185</v>
      </c>
    </row>
    <row r="31" spans="2:17" ht="135.6" customHeight="1" thickBot="1" x14ac:dyDescent="0.35">
      <c r="B31" s="38" t="s">
        <v>186</v>
      </c>
      <c r="C31" s="38" t="s">
        <v>187</v>
      </c>
      <c r="D31" s="38" t="s">
        <v>188</v>
      </c>
      <c r="E31" s="38" t="s">
        <v>189</v>
      </c>
      <c r="F31" s="38" t="s">
        <v>190</v>
      </c>
      <c r="G31" s="38" t="s">
        <v>191</v>
      </c>
      <c r="I31" s="136" t="s">
        <v>208</v>
      </c>
      <c r="J31" s="137"/>
      <c r="K31" s="137"/>
      <c r="L31" s="137"/>
      <c r="M31" s="137"/>
      <c r="N31" s="137"/>
      <c r="O31" s="36"/>
      <c r="P31" s="36"/>
      <c r="Q31" s="36"/>
    </row>
    <row r="32" spans="2:17" ht="165.6" customHeight="1" x14ac:dyDescent="0.3">
      <c r="B32" s="38" t="s">
        <v>192</v>
      </c>
      <c r="C32" s="38" t="s">
        <v>193</v>
      </c>
      <c r="D32" s="38" t="s">
        <v>194</v>
      </c>
      <c r="E32" s="38" t="s">
        <v>195</v>
      </c>
      <c r="F32" s="38" t="s">
        <v>196</v>
      </c>
      <c r="G32" s="38" t="s">
        <v>197</v>
      </c>
      <c r="I32" s="138"/>
      <c r="J32" s="138"/>
      <c r="K32" s="138"/>
      <c r="L32" s="138"/>
      <c r="M32" s="138"/>
      <c r="N32" s="138"/>
    </row>
    <row r="33" spans="2:7" ht="153" customHeight="1" x14ac:dyDescent="0.3">
      <c r="B33" s="38" t="s">
        <v>103</v>
      </c>
      <c r="C33" s="38" t="s">
        <v>198</v>
      </c>
      <c r="D33" s="38" t="s">
        <v>199</v>
      </c>
      <c r="E33" s="38" t="s">
        <v>200</v>
      </c>
      <c r="F33" s="38" t="s">
        <v>201</v>
      </c>
      <c r="G33" s="38" t="s">
        <v>202</v>
      </c>
    </row>
    <row r="34" spans="2:7" ht="161.4" customHeight="1" x14ac:dyDescent="0.3">
      <c r="B34" s="38" t="s">
        <v>104</v>
      </c>
      <c r="C34" s="38" t="s">
        <v>203</v>
      </c>
      <c r="D34" s="38" t="s">
        <v>204</v>
      </c>
      <c r="E34" s="38" t="s">
        <v>205</v>
      </c>
      <c r="F34" s="38" t="s">
        <v>206</v>
      </c>
      <c r="G34" s="38" t="s">
        <v>207</v>
      </c>
    </row>
  </sheetData>
  <mergeCells count="9">
    <mergeCell ref="I32:N32"/>
    <mergeCell ref="I19:Q19"/>
    <mergeCell ref="I20:Q20"/>
    <mergeCell ref="I18:Q18"/>
    <mergeCell ref="B2:P2"/>
    <mergeCell ref="B4:P4"/>
    <mergeCell ref="B14:P14"/>
    <mergeCell ref="I6:P12"/>
    <mergeCell ref="I31:N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D780-C78A-4359-A582-D50B0EC3F081}">
  <dimension ref="A2:N37"/>
  <sheetViews>
    <sheetView showGridLines="0" topLeftCell="A29" zoomScale="99" workbookViewId="0">
      <selection activeCell="J19" sqref="J19"/>
    </sheetView>
  </sheetViews>
  <sheetFormatPr defaultRowHeight="14.4" x14ac:dyDescent="0.3"/>
  <cols>
    <col min="1" max="1" width="20.5546875" customWidth="1"/>
    <col min="2" max="2" width="41" customWidth="1"/>
    <col min="3" max="3" width="12.5546875" customWidth="1"/>
    <col min="4" max="4" width="18.88671875" customWidth="1"/>
    <col min="5" max="5" width="14" customWidth="1"/>
    <col min="7" max="7" width="76.5546875" customWidth="1"/>
    <col min="14" max="14" width="25" customWidth="1"/>
  </cols>
  <sheetData>
    <row r="2" spans="1:12" ht="21" x14ac:dyDescent="0.4">
      <c r="B2" s="140" t="s">
        <v>209</v>
      </c>
      <c r="C2" s="140"/>
      <c r="D2" s="140"/>
      <c r="E2" s="140"/>
      <c r="F2" s="140"/>
      <c r="G2" s="140"/>
      <c r="H2" s="140"/>
      <c r="I2" s="140"/>
      <c r="J2" s="140"/>
      <c r="K2" s="140"/>
      <c r="L2" s="140"/>
    </row>
    <row r="5" spans="1:12" ht="15" thickBot="1" x14ac:dyDescent="0.35"/>
    <row r="6" spans="1:12" ht="15" thickBot="1" x14ac:dyDescent="0.35">
      <c r="A6" s="141" t="s">
        <v>210</v>
      </c>
      <c r="B6" s="141"/>
      <c r="C6" s="141"/>
      <c r="D6" s="141"/>
      <c r="E6" s="141"/>
      <c r="F6" s="141"/>
      <c r="G6" s="141"/>
      <c r="H6" s="141"/>
      <c r="I6" s="141"/>
      <c r="J6" s="141"/>
      <c r="K6" s="141"/>
      <c r="L6" s="141"/>
    </row>
    <row r="7" spans="1:12" ht="15" thickBot="1" x14ac:dyDescent="0.35"/>
    <row r="8" spans="1:12" ht="15" thickBot="1" x14ac:dyDescent="0.35">
      <c r="A8" s="46" t="s">
        <v>211</v>
      </c>
      <c r="B8" s="47">
        <v>2022</v>
      </c>
      <c r="C8" s="46">
        <v>2023</v>
      </c>
      <c r="D8" s="46">
        <v>2024</v>
      </c>
      <c r="E8" s="46">
        <v>2025</v>
      </c>
      <c r="F8" s="48" t="s">
        <v>212</v>
      </c>
      <c r="G8" s="46" t="s">
        <v>260</v>
      </c>
    </row>
    <row r="9" spans="1:12" ht="31.2" thickBot="1" x14ac:dyDescent="0.35">
      <c r="A9" s="49" t="s">
        <v>213</v>
      </c>
      <c r="B9" s="64" t="s">
        <v>220</v>
      </c>
      <c r="C9" s="64" t="s">
        <v>221</v>
      </c>
      <c r="D9" s="64" t="s">
        <v>222</v>
      </c>
      <c r="E9" s="64" t="s">
        <v>223</v>
      </c>
      <c r="F9" s="64" t="s">
        <v>224</v>
      </c>
      <c r="G9" s="50" t="s">
        <v>225</v>
      </c>
    </row>
    <row r="10" spans="1:12" ht="31.2" thickBot="1" x14ac:dyDescent="0.35">
      <c r="A10" s="51" t="s">
        <v>214</v>
      </c>
      <c r="B10" s="65" t="s">
        <v>226</v>
      </c>
      <c r="C10" s="65" t="s">
        <v>227</v>
      </c>
      <c r="D10" s="65" t="s">
        <v>228</v>
      </c>
      <c r="E10" s="65" t="s">
        <v>229</v>
      </c>
      <c r="F10" s="65" t="s">
        <v>230</v>
      </c>
      <c r="G10" s="52" t="s">
        <v>231</v>
      </c>
    </row>
    <row r="11" spans="1:12" ht="31.2" thickBot="1" x14ac:dyDescent="0.35">
      <c r="A11" s="53" t="s">
        <v>215</v>
      </c>
      <c r="B11" s="64" t="s">
        <v>232</v>
      </c>
      <c r="C11" s="64" t="s">
        <v>233</v>
      </c>
      <c r="D11" s="64" t="s">
        <v>234</v>
      </c>
      <c r="E11" s="64" t="s">
        <v>235</v>
      </c>
      <c r="F11" s="64" t="s">
        <v>236</v>
      </c>
      <c r="G11" s="52" t="s">
        <v>237</v>
      </c>
    </row>
    <row r="12" spans="1:12" ht="41.4" thickBot="1" x14ac:dyDescent="0.35">
      <c r="A12" s="53" t="s">
        <v>216</v>
      </c>
      <c r="B12" s="66" t="s">
        <v>238</v>
      </c>
      <c r="C12" s="66" t="s">
        <v>239</v>
      </c>
      <c r="D12" s="66" t="s">
        <v>240</v>
      </c>
      <c r="E12" s="66" t="s">
        <v>241</v>
      </c>
      <c r="F12" s="66" t="s">
        <v>241</v>
      </c>
      <c r="G12" s="52" t="s">
        <v>242</v>
      </c>
    </row>
    <row r="13" spans="1:12" ht="41.4" thickBot="1" x14ac:dyDescent="0.35">
      <c r="A13" s="53" t="s">
        <v>217</v>
      </c>
      <c r="B13" s="64" t="s">
        <v>243</v>
      </c>
      <c r="C13" s="64" t="s">
        <v>244</v>
      </c>
      <c r="D13" s="64" t="s">
        <v>245</v>
      </c>
      <c r="E13" s="64" t="s">
        <v>246</v>
      </c>
      <c r="F13" s="64" t="s">
        <v>247</v>
      </c>
      <c r="G13" s="52" t="s">
        <v>248</v>
      </c>
    </row>
    <row r="14" spans="1:12" ht="41.4" thickBot="1" x14ac:dyDescent="0.35">
      <c r="A14" s="51" t="s">
        <v>218</v>
      </c>
      <c r="B14" s="65" t="s">
        <v>243</v>
      </c>
      <c r="C14" s="65" t="s">
        <v>249</v>
      </c>
      <c r="D14" s="65" t="s">
        <v>250</v>
      </c>
      <c r="E14" s="65" t="s">
        <v>251</v>
      </c>
      <c r="F14" s="65" t="s">
        <v>252</v>
      </c>
      <c r="G14" s="52" t="s">
        <v>253</v>
      </c>
    </row>
    <row r="15" spans="1:12" ht="41.4" thickBot="1" x14ac:dyDescent="0.35">
      <c r="A15" s="54" t="s">
        <v>219</v>
      </c>
      <c r="B15" s="67" t="s">
        <v>254</v>
      </c>
      <c r="C15" s="67" t="s">
        <v>255</v>
      </c>
      <c r="D15" s="67" t="s">
        <v>256</v>
      </c>
      <c r="E15" s="67" t="s">
        <v>257</v>
      </c>
      <c r="F15" s="67" t="s">
        <v>258</v>
      </c>
      <c r="G15" s="52" t="s">
        <v>259</v>
      </c>
    </row>
    <row r="17" spans="1:14" x14ac:dyDescent="0.3">
      <c r="G17" s="95" t="s">
        <v>494</v>
      </c>
    </row>
    <row r="19" spans="1:14" ht="244.8" x14ac:dyDescent="0.3">
      <c r="A19" s="55" t="s">
        <v>261</v>
      </c>
      <c r="B19" s="56" t="s">
        <v>262</v>
      </c>
      <c r="C19" s="57" t="s">
        <v>263</v>
      </c>
      <c r="D19" s="57" t="s">
        <v>264</v>
      </c>
      <c r="E19" s="57" t="s">
        <v>265</v>
      </c>
      <c r="G19" s="94" t="s">
        <v>496</v>
      </c>
    </row>
    <row r="20" spans="1:14" ht="78.599999999999994" customHeight="1" x14ac:dyDescent="0.3">
      <c r="A20" s="58" t="s">
        <v>266</v>
      </c>
      <c r="B20" s="56" t="s">
        <v>267</v>
      </c>
      <c r="C20" s="57" t="s">
        <v>268</v>
      </c>
      <c r="D20" s="59" t="s">
        <v>269</v>
      </c>
      <c r="E20" s="57" t="s">
        <v>265</v>
      </c>
    </row>
    <row r="21" spans="1:14" ht="409.2" customHeight="1" x14ac:dyDescent="0.3">
      <c r="A21" s="55" t="s">
        <v>270</v>
      </c>
      <c r="B21" s="56" t="s">
        <v>271</v>
      </c>
      <c r="C21" s="59" t="s">
        <v>272</v>
      </c>
      <c r="D21" s="60" t="s">
        <v>273</v>
      </c>
      <c r="E21" s="60" t="s">
        <v>274</v>
      </c>
      <c r="G21" s="88" t="s">
        <v>503</v>
      </c>
      <c r="I21" s="143" t="s">
        <v>497</v>
      </c>
      <c r="J21" s="144"/>
      <c r="K21" s="144"/>
      <c r="L21" s="144"/>
      <c r="M21" s="144"/>
      <c r="N21" s="144"/>
    </row>
    <row r="22" spans="1:14" x14ac:dyDescent="0.3">
      <c r="A22" s="142" t="s">
        <v>275</v>
      </c>
      <c r="B22" s="142"/>
      <c r="C22" s="142"/>
      <c r="D22" s="142"/>
      <c r="E22" s="142"/>
    </row>
    <row r="23" spans="1:14" ht="129.6" x14ac:dyDescent="0.3">
      <c r="A23" s="55" t="s">
        <v>276</v>
      </c>
      <c r="B23" s="56" t="s">
        <v>277</v>
      </c>
      <c r="C23" s="57" t="s">
        <v>268</v>
      </c>
      <c r="D23" s="57" t="s">
        <v>278</v>
      </c>
      <c r="E23" s="57" t="s">
        <v>265</v>
      </c>
      <c r="G23" s="90" t="s">
        <v>499</v>
      </c>
      <c r="I23" s="145" t="s">
        <v>504</v>
      </c>
      <c r="J23" s="145"/>
      <c r="K23" s="145"/>
      <c r="L23" s="145"/>
      <c r="M23" s="145"/>
      <c r="N23" s="145"/>
    </row>
    <row r="24" spans="1:14" ht="102" customHeight="1" x14ac:dyDescent="0.3">
      <c r="A24" s="58" t="s">
        <v>279</v>
      </c>
      <c r="B24" s="56" t="s">
        <v>280</v>
      </c>
      <c r="C24" s="60" t="s">
        <v>281</v>
      </c>
      <c r="D24" s="61" t="s">
        <v>282</v>
      </c>
      <c r="E24" s="60" t="s">
        <v>283</v>
      </c>
      <c r="G24" s="91" t="s">
        <v>498</v>
      </c>
      <c r="I24" s="145"/>
      <c r="J24" s="145"/>
      <c r="K24" s="145"/>
      <c r="L24" s="145"/>
      <c r="M24" s="145"/>
      <c r="N24" s="145"/>
    </row>
    <row r="25" spans="1:14" x14ac:dyDescent="0.3">
      <c r="A25" s="142" t="s">
        <v>284</v>
      </c>
      <c r="B25" s="142"/>
      <c r="C25" s="142"/>
      <c r="D25" s="142"/>
      <c r="E25" s="142"/>
      <c r="G25" s="92"/>
      <c r="I25" s="145"/>
      <c r="J25" s="145"/>
      <c r="K25" s="145"/>
      <c r="L25" s="145"/>
      <c r="M25" s="145"/>
      <c r="N25" s="145"/>
    </row>
    <row r="26" spans="1:14" ht="144" x14ac:dyDescent="0.3">
      <c r="A26" s="58" t="s">
        <v>285</v>
      </c>
      <c r="B26" s="56" t="s">
        <v>286</v>
      </c>
      <c r="C26" s="59" t="s">
        <v>272</v>
      </c>
      <c r="D26" s="60" t="s">
        <v>287</v>
      </c>
      <c r="E26" s="61" t="s">
        <v>282</v>
      </c>
      <c r="G26" s="90" t="s">
        <v>502</v>
      </c>
      <c r="I26" s="146" t="s">
        <v>505</v>
      </c>
      <c r="J26" s="146"/>
      <c r="K26" s="146"/>
      <c r="L26" s="146"/>
      <c r="M26" s="146"/>
      <c r="N26" s="146"/>
    </row>
    <row r="27" spans="1:14" ht="112.2" x14ac:dyDescent="0.3">
      <c r="A27" s="55" t="s">
        <v>288</v>
      </c>
      <c r="B27" s="56" t="s">
        <v>289</v>
      </c>
      <c r="C27" s="60" t="s">
        <v>290</v>
      </c>
      <c r="D27" s="60" t="s">
        <v>273</v>
      </c>
      <c r="E27" s="60" t="s">
        <v>274</v>
      </c>
      <c r="G27" s="91" t="s">
        <v>500</v>
      </c>
      <c r="I27" s="146"/>
      <c r="J27" s="146"/>
      <c r="K27" s="146"/>
      <c r="L27" s="146"/>
      <c r="M27" s="146"/>
      <c r="N27" s="146"/>
    </row>
    <row r="28" spans="1:14" x14ac:dyDescent="0.3">
      <c r="A28" s="142" t="s">
        <v>291</v>
      </c>
      <c r="B28" s="142"/>
      <c r="C28" s="142"/>
      <c r="D28" s="142"/>
      <c r="E28" s="142"/>
      <c r="G28" s="92"/>
      <c r="I28" s="93"/>
      <c r="J28" s="93"/>
      <c r="K28" s="93"/>
      <c r="L28" s="93"/>
      <c r="M28" s="93"/>
      <c r="N28" s="93"/>
    </row>
    <row r="29" spans="1:14" ht="102" x14ac:dyDescent="0.3">
      <c r="A29" s="55" t="s">
        <v>292</v>
      </c>
      <c r="B29" s="56" t="s">
        <v>293</v>
      </c>
      <c r="C29" s="59" t="s">
        <v>272</v>
      </c>
      <c r="D29" s="60" t="s">
        <v>273</v>
      </c>
      <c r="E29" s="61" t="s">
        <v>282</v>
      </c>
      <c r="G29" s="91" t="s">
        <v>501</v>
      </c>
      <c r="I29" s="146" t="s">
        <v>506</v>
      </c>
      <c r="J29" s="146"/>
      <c r="K29" s="146"/>
      <c r="L29" s="146"/>
      <c r="M29" s="146"/>
      <c r="N29" s="146"/>
    </row>
    <row r="30" spans="1:14" ht="112.2" x14ac:dyDescent="0.3">
      <c r="A30" s="58" t="s">
        <v>294</v>
      </c>
      <c r="B30" s="56" t="s">
        <v>295</v>
      </c>
      <c r="C30" s="60" t="s">
        <v>281</v>
      </c>
      <c r="D30" s="60" t="s">
        <v>296</v>
      </c>
      <c r="E30" s="60" t="s">
        <v>274</v>
      </c>
      <c r="I30" s="146"/>
      <c r="J30" s="146"/>
      <c r="K30" s="146"/>
      <c r="L30" s="146"/>
      <c r="M30" s="146"/>
      <c r="N30" s="146"/>
    </row>
    <row r="31" spans="1:14" x14ac:dyDescent="0.3">
      <c r="A31" s="142" t="s">
        <v>297</v>
      </c>
      <c r="B31" s="142"/>
      <c r="C31" s="142"/>
      <c r="D31" s="142"/>
      <c r="E31" s="142"/>
    </row>
    <row r="32" spans="1:14" ht="112.2" x14ac:dyDescent="0.3">
      <c r="A32" s="58" t="s">
        <v>298</v>
      </c>
      <c r="B32" s="56" t="s">
        <v>299</v>
      </c>
      <c r="C32" s="62" t="s">
        <v>300</v>
      </c>
      <c r="D32" s="62" t="s">
        <v>301</v>
      </c>
      <c r="E32" s="62" t="s">
        <v>300</v>
      </c>
      <c r="G32" s="89"/>
    </row>
    <row r="33" spans="1:5" ht="102" x14ac:dyDescent="0.3">
      <c r="A33" s="55" t="s">
        <v>302</v>
      </c>
      <c r="B33" s="56" t="s">
        <v>303</v>
      </c>
      <c r="C33" s="62" t="s">
        <v>300</v>
      </c>
      <c r="D33" s="62" t="s">
        <v>300</v>
      </c>
      <c r="E33" s="63" t="s">
        <v>304</v>
      </c>
    </row>
    <row r="34" spans="1:5" ht="122.4" x14ac:dyDescent="0.3">
      <c r="A34" s="58" t="s">
        <v>305</v>
      </c>
      <c r="B34" s="56" t="s">
        <v>306</v>
      </c>
      <c r="C34" s="60" t="s">
        <v>281</v>
      </c>
      <c r="D34" s="61" t="s">
        <v>282</v>
      </c>
      <c r="E34" s="61" t="s">
        <v>307</v>
      </c>
    </row>
    <row r="35" spans="1:5" x14ac:dyDescent="0.3">
      <c r="A35" s="142" t="s">
        <v>308</v>
      </c>
      <c r="B35" s="142"/>
      <c r="C35" s="142"/>
      <c r="D35" s="142"/>
      <c r="E35" s="142"/>
    </row>
    <row r="36" spans="1:5" ht="142.80000000000001" x14ac:dyDescent="0.3">
      <c r="A36" s="58" t="s">
        <v>309</v>
      </c>
      <c r="B36" s="56" t="s">
        <v>310</v>
      </c>
      <c r="C36" s="57" t="s">
        <v>263</v>
      </c>
      <c r="D36" s="57" t="s">
        <v>264</v>
      </c>
      <c r="E36" s="60" t="s">
        <v>283</v>
      </c>
    </row>
    <row r="37" spans="1:5" ht="32.4" customHeight="1" x14ac:dyDescent="0.3">
      <c r="A37" s="147" t="s">
        <v>311</v>
      </c>
      <c r="B37" s="147"/>
      <c r="C37" s="147"/>
      <c r="D37" s="147"/>
      <c r="E37" s="147"/>
    </row>
  </sheetData>
  <mergeCells count="12">
    <mergeCell ref="A35:E35"/>
    <mergeCell ref="A37:E37"/>
    <mergeCell ref="A22:E22"/>
    <mergeCell ref="A25:E25"/>
    <mergeCell ref="A28:E28"/>
    <mergeCell ref="B2:L2"/>
    <mergeCell ref="A6:L6"/>
    <mergeCell ref="A31:E31"/>
    <mergeCell ref="I21:N21"/>
    <mergeCell ref="I23:N25"/>
    <mergeCell ref="I26:N27"/>
    <mergeCell ref="I29:N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4C2F-5092-4F74-ABDE-E6FBE6C3DC6C}">
  <dimension ref="A1:J20"/>
  <sheetViews>
    <sheetView showGridLines="0" zoomScale="130" workbookViewId="0">
      <selection activeCell="E5" sqref="E5"/>
    </sheetView>
  </sheetViews>
  <sheetFormatPr defaultRowHeight="14.4" x14ac:dyDescent="0.3"/>
  <cols>
    <col min="1" max="1" width="28.88671875" customWidth="1"/>
    <col min="2" max="2" width="15.21875" customWidth="1"/>
    <col min="3" max="3" width="15.109375" customWidth="1"/>
    <col min="4" max="4" width="19.77734375" customWidth="1"/>
    <col min="5" max="5" width="15.33203125" customWidth="1"/>
    <col min="6" max="6" width="40.21875" customWidth="1"/>
  </cols>
  <sheetData>
    <row r="1" spans="1:10" ht="18" x14ac:dyDescent="0.35">
      <c r="A1" s="148" t="s">
        <v>353</v>
      </c>
      <c r="B1" s="148"/>
      <c r="C1" s="148"/>
      <c r="D1" s="148"/>
      <c r="E1" s="148"/>
      <c r="F1" s="148"/>
    </row>
    <row r="2" spans="1:10" ht="15" thickBot="1" x14ac:dyDescent="0.35"/>
    <row r="3" spans="1:10" ht="15" thickBot="1" x14ac:dyDescent="0.35">
      <c r="A3" s="73" t="s">
        <v>312</v>
      </c>
      <c r="B3" s="73" t="s">
        <v>319</v>
      </c>
      <c r="C3" s="73" t="s">
        <v>320</v>
      </c>
      <c r="D3" s="73" t="s">
        <v>321</v>
      </c>
      <c r="E3" s="73" t="s">
        <v>322</v>
      </c>
      <c r="F3" s="73" t="s">
        <v>354</v>
      </c>
    </row>
    <row r="4" spans="1:10" ht="92.4" customHeight="1" thickBot="1" x14ac:dyDescent="0.35">
      <c r="A4" s="68" t="s">
        <v>313</v>
      </c>
      <c r="B4" s="69" t="s">
        <v>323</v>
      </c>
      <c r="C4" s="69" t="s">
        <v>324</v>
      </c>
      <c r="D4" s="70" t="s">
        <v>325</v>
      </c>
      <c r="E4" s="71" t="s">
        <v>326</v>
      </c>
      <c r="F4" s="72" t="s">
        <v>327</v>
      </c>
    </row>
    <row r="5" spans="1:10" ht="102.6" thickBot="1" x14ac:dyDescent="0.35">
      <c r="A5" s="53" t="s">
        <v>314</v>
      </c>
      <c r="B5" s="70" t="s">
        <v>328</v>
      </c>
      <c r="C5" s="70" t="s">
        <v>329</v>
      </c>
      <c r="D5" s="70" t="s">
        <v>330</v>
      </c>
      <c r="E5" s="74" t="s">
        <v>331</v>
      </c>
      <c r="F5" s="72" t="s">
        <v>332</v>
      </c>
    </row>
    <row r="6" spans="1:10" ht="92.4" thickBot="1" x14ac:dyDescent="0.35">
      <c r="A6" s="54" t="s">
        <v>315</v>
      </c>
      <c r="B6" s="70" t="s">
        <v>333</v>
      </c>
      <c r="C6" s="70" t="s">
        <v>334</v>
      </c>
      <c r="D6" s="70" t="s">
        <v>335</v>
      </c>
      <c r="E6" s="74" t="s">
        <v>336</v>
      </c>
      <c r="F6" s="72" t="s">
        <v>337</v>
      </c>
    </row>
    <row r="7" spans="1:10" ht="123" thickBot="1" x14ac:dyDescent="0.35">
      <c r="A7" s="51" t="s">
        <v>316</v>
      </c>
      <c r="B7" s="75" t="s">
        <v>338</v>
      </c>
      <c r="C7" s="75" t="s">
        <v>339</v>
      </c>
      <c r="D7" s="70" t="s">
        <v>340</v>
      </c>
      <c r="E7" s="76" t="s">
        <v>341</v>
      </c>
      <c r="F7" s="72" t="s">
        <v>342</v>
      </c>
    </row>
    <row r="8" spans="1:10" ht="123" thickBot="1" x14ac:dyDescent="0.35">
      <c r="A8" s="54" t="s">
        <v>317</v>
      </c>
      <c r="B8" s="69" t="s">
        <v>343</v>
      </c>
      <c r="C8" s="69" t="s">
        <v>344</v>
      </c>
      <c r="D8" s="70" t="s">
        <v>345</v>
      </c>
      <c r="E8" s="71" t="s">
        <v>346</v>
      </c>
      <c r="F8" s="72" t="s">
        <v>347</v>
      </c>
    </row>
    <row r="9" spans="1:10" ht="143.4" thickBot="1" x14ac:dyDescent="0.35">
      <c r="A9" s="51" t="s">
        <v>318</v>
      </c>
      <c r="B9" s="75" t="s">
        <v>348</v>
      </c>
      <c r="C9" s="75" t="s">
        <v>349</v>
      </c>
      <c r="D9" s="70" t="s">
        <v>350</v>
      </c>
      <c r="E9" s="76" t="s">
        <v>351</v>
      </c>
      <c r="F9" s="72" t="s">
        <v>352</v>
      </c>
    </row>
    <row r="10" spans="1:10" ht="15" thickBot="1" x14ac:dyDescent="0.35"/>
    <row r="11" spans="1:10" ht="15" customHeight="1" thickBot="1" x14ac:dyDescent="0.35">
      <c r="A11" s="149" t="s">
        <v>366</v>
      </c>
      <c r="B11" s="150"/>
      <c r="C11" s="150"/>
      <c r="D11" s="150"/>
      <c r="E11" s="150"/>
    </row>
    <row r="12" spans="1:10" ht="15" thickBot="1" x14ac:dyDescent="0.35"/>
    <row r="13" spans="1:10" ht="15" thickBot="1" x14ac:dyDescent="0.35">
      <c r="A13" s="77" t="s">
        <v>355</v>
      </c>
      <c r="B13" s="77" t="s">
        <v>362</v>
      </c>
      <c r="C13" s="77" t="s">
        <v>363</v>
      </c>
      <c r="D13" s="77" t="s">
        <v>364</v>
      </c>
      <c r="E13" s="82" t="s">
        <v>365</v>
      </c>
      <c r="F13" s="80"/>
    </row>
    <row r="14" spans="1:10" ht="125.4" x14ac:dyDescent="0.3">
      <c r="A14" s="78" t="s">
        <v>356</v>
      </c>
      <c r="B14" s="79" t="s">
        <v>367</v>
      </c>
      <c r="C14" s="79" t="s">
        <v>368</v>
      </c>
      <c r="D14" s="79" t="s">
        <v>369</v>
      </c>
      <c r="E14" s="81" t="s">
        <v>370</v>
      </c>
      <c r="F14" s="151" t="s">
        <v>395</v>
      </c>
      <c r="G14" s="152"/>
      <c r="H14" s="152"/>
      <c r="I14" s="152"/>
      <c r="J14" s="152"/>
    </row>
    <row r="15" spans="1:10" ht="148.19999999999999" x14ac:dyDescent="0.3">
      <c r="A15" s="78" t="s">
        <v>357</v>
      </c>
      <c r="B15" s="79" t="s">
        <v>371</v>
      </c>
      <c r="C15" s="79" t="s">
        <v>372</v>
      </c>
      <c r="D15" s="79" t="s">
        <v>373</v>
      </c>
      <c r="E15" s="79" t="s">
        <v>374</v>
      </c>
    </row>
    <row r="16" spans="1:10" ht="159.6" x14ac:dyDescent="0.3">
      <c r="A16" s="78" t="s">
        <v>358</v>
      </c>
      <c r="B16" s="79" t="s">
        <v>371</v>
      </c>
      <c r="C16" s="79" t="s">
        <v>375</v>
      </c>
      <c r="D16" s="79" t="s">
        <v>376</v>
      </c>
      <c r="E16" s="79" t="s">
        <v>377</v>
      </c>
    </row>
    <row r="17" spans="1:5" ht="148.19999999999999" x14ac:dyDescent="0.3">
      <c r="A17" s="78" t="s">
        <v>359</v>
      </c>
      <c r="B17" s="79" t="s">
        <v>378</v>
      </c>
      <c r="C17" s="79" t="s">
        <v>379</v>
      </c>
      <c r="D17" s="79" t="s">
        <v>380</v>
      </c>
      <c r="E17" s="79" t="s">
        <v>381</v>
      </c>
    </row>
    <row r="18" spans="1:5" ht="183.6" customHeight="1" x14ac:dyDescent="0.3">
      <c r="A18" s="78" t="s">
        <v>360</v>
      </c>
      <c r="B18" s="79" t="s">
        <v>382</v>
      </c>
      <c r="C18" s="79" t="s">
        <v>383</v>
      </c>
      <c r="D18" s="79" t="s">
        <v>384</v>
      </c>
      <c r="E18" s="79" t="s">
        <v>385</v>
      </c>
    </row>
    <row r="19" spans="1:5" ht="228" x14ac:dyDescent="0.3">
      <c r="A19" s="78" t="s">
        <v>386</v>
      </c>
      <c r="B19" s="79" t="s">
        <v>387</v>
      </c>
      <c r="C19" s="79" t="s">
        <v>388</v>
      </c>
      <c r="D19" s="79" t="s">
        <v>389</v>
      </c>
      <c r="E19" s="79" t="s">
        <v>390</v>
      </c>
    </row>
    <row r="20" spans="1:5" ht="261.60000000000002" customHeight="1" x14ac:dyDescent="0.3">
      <c r="A20" s="78" t="s">
        <v>361</v>
      </c>
      <c r="B20" s="79" t="s">
        <v>391</v>
      </c>
      <c r="C20" s="79" t="s">
        <v>392</v>
      </c>
      <c r="D20" s="79" t="s">
        <v>393</v>
      </c>
      <c r="E20" s="79" t="s">
        <v>394</v>
      </c>
    </row>
  </sheetData>
  <mergeCells count="3">
    <mergeCell ref="A1:F1"/>
    <mergeCell ref="A11:E11"/>
    <mergeCell ref="F14:J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64F9-727D-4317-9DDC-AD07829D2BA2}">
  <dimension ref="A1:E10"/>
  <sheetViews>
    <sheetView topLeftCell="A4" zoomScale="154" workbookViewId="0">
      <selection activeCell="B4" sqref="B4"/>
    </sheetView>
  </sheetViews>
  <sheetFormatPr defaultRowHeight="14.4" x14ac:dyDescent="0.3"/>
  <cols>
    <col min="1" max="1" width="28" customWidth="1"/>
    <col min="2" max="2" width="28.6640625" customWidth="1"/>
    <col min="3" max="3" width="29.6640625" customWidth="1"/>
    <col min="4" max="4" width="21.5546875" customWidth="1"/>
    <col min="5" max="5" width="35.77734375" customWidth="1"/>
  </cols>
  <sheetData>
    <row r="1" spans="1:5" ht="30.6" customHeight="1" thickBot="1" x14ac:dyDescent="0.35">
      <c r="A1" s="153" t="s">
        <v>441</v>
      </c>
      <c r="B1" s="154"/>
      <c r="C1" s="154"/>
      <c r="D1" s="154"/>
      <c r="E1" s="154"/>
    </row>
    <row r="2" spans="1:5" ht="27.6" customHeight="1" thickBot="1" x14ac:dyDescent="0.35">
      <c r="A2" s="83" t="s">
        <v>396</v>
      </c>
      <c r="B2" s="83" t="s">
        <v>397</v>
      </c>
      <c r="C2" s="83" t="s">
        <v>398</v>
      </c>
      <c r="D2" s="83" t="s">
        <v>399</v>
      </c>
      <c r="E2" s="83" t="s">
        <v>400</v>
      </c>
    </row>
    <row r="3" spans="1:5" ht="109.8" customHeight="1" x14ac:dyDescent="0.3">
      <c r="A3" s="78" t="s">
        <v>401</v>
      </c>
      <c r="B3" s="79" t="s">
        <v>402</v>
      </c>
      <c r="C3" s="79" t="s">
        <v>403</v>
      </c>
      <c r="D3" s="79" t="s">
        <v>404</v>
      </c>
      <c r="E3" s="79" t="s">
        <v>405</v>
      </c>
    </row>
    <row r="4" spans="1:5" ht="93.6" customHeight="1" x14ac:dyDescent="0.3">
      <c r="A4" s="78" t="s">
        <v>406</v>
      </c>
      <c r="B4" s="79" t="s">
        <v>407</v>
      </c>
      <c r="C4" s="79" t="s">
        <v>408</v>
      </c>
      <c r="D4" s="79" t="s">
        <v>409</v>
      </c>
      <c r="E4" s="79" t="s">
        <v>410</v>
      </c>
    </row>
    <row r="5" spans="1:5" ht="97.8" customHeight="1" x14ac:dyDescent="0.3">
      <c r="A5" s="78" t="s">
        <v>411</v>
      </c>
      <c r="B5" s="79" t="s">
        <v>412</v>
      </c>
      <c r="C5" s="79" t="s">
        <v>413</v>
      </c>
      <c r="D5" s="79" t="s">
        <v>414</v>
      </c>
      <c r="E5" s="79" t="s">
        <v>415</v>
      </c>
    </row>
    <row r="6" spans="1:5" ht="120" customHeight="1" x14ac:dyDescent="0.3">
      <c r="A6" s="78" t="s">
        <v>416</v>
      </c>
      <c r="B6" s="79" t="s">
        <v>417</v>
      </c>
      <c r="C6" s="79" t="s">
        <v>418</v>
      </c>
      <c r="D6" s="79" t="s">
        <v>419</v>
      </c>
      <c r="E6" s="79" t="s">
        <v>420</v>
      </c>
    </row>
    <row r="7" spans="1:5" ht="104.4" customHeight="1" x14ac:dyDescent="0.3">
      <c r="A7" s="78" t="s">
        <v>421</v>
      </c>
      <c r="B7" s="79" t="s">
        <v>422</v>
      </c>
      <c r="C7" s="79" t="s">
        <v>423</v>
      </c>
      <c r="D7" s="79" t="s">
        <v>424</v>
      </c>
      <c r="E7" s="79" t="s">
        <v>425</v>
      </c>
    </row>
    <row r="8" spans="1:5" ht="115.8" customHeight="1" x14ac:dyDescent="0.3">
      <c r="A8" s="78" t="s">
        <v>426</v>
      </c>
      <c r="B8" s="79" t="s">
        <v>427</v>
      </c>
      <c r="C8" s="79" t="s">
        <v>428</v>
      </c>
      <c r="D8" s="79" t="s">
        <v>429</v>
      </c>
      <c r="E8" s="79" t="s">
        <v>430</v>
      </c>
    </row>
    <row r="9" spans="1:5" ht="130.19999999999999" customHeight="1" x14ac:dyDescent="0.3">
      <c r="A9" s="78" t="s">
        <v>431</v>
      </c>
      <c r="B9" s="79" t="s">
        <v>432</v>
      </c>
      <c r="C9" s="79" t="s">
        <v>433</v>
      </c>
      <c r="D9" s="79" t="s">
        <v>434</v>
      </c>
      <c r="E9" s="79" t="s">
        <v>435</v>
      </c>
    </row>
    <row r="10" spans="1:5" ht="129.6" customHeight="1" x14ac:dyDescent="0.3">
      <c r="A10" s="78" t="s">
        <v>436</v>
      </c>
      <c r="B10" s="79" t="s">
        <v>437</v>
      </c>
      <c r="C10" s="79" t="s">
        <v>438</v>
      </c>
      <c r="D10" s="79" t="s">
        <v>439</v>
      </c>
      <c r="E10" s="79" t="s">
        <v>440</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63CF-3E22-4DEC-95B3-49819146DA37}">
  <dimension ref="A1:L19"/>
  <sheetViews>
    <sheetView topLeftCell="A5" zoomScale="153" workbookViewId="0">
      <selection activeCell="F4" sqref="F4"/>
    </sheetView>
  </sheetViews>
  <sheetFormatPr defaultRowHeight="14.4" x14ac:dyDescent="0.3"/>
  <cols>
    <col min="2" max="2" width="23.44140625" customWidth="1"/>
    <col min="3" max="3" width="18.109375" customWidth="1"/>
    <col min="4" max="4" width="54.88671875" customWidth="1"/>
    <col min="5" max="5" width="31.21875" customWidth="1"/>
  </cols>
  <sheetData>
    <row r="1" spans="1:12" ht="17.399999999999999" x14ac:dyDescent="0.3">
      <c r="A1" s="155" t="s">
        <v>491</v>
      </c>
      <c r="B1" s="154"/>
      <c r="C1" s="154"/>
      <c r="D1" s="154"/>
      <c r="E1" s="154"/>
      <c r="F1" s="154"/>
    </row>
    <row r="3" spans="1:12" x14ac:dyDescent="0.3">
      <c r="A3" s="84" t="s">
        <v>492</v>
      </c>
      <c r="B3" s="84" t="s">
        <v>442</v>
      </c>
      <c r="C3" s="84" t="s">
        <v>443</v>
      </c>
      <c r="D3" s="84" t="s">
        <v>444</v>
      </c>
      <c r="E3" s="84" t="s">
        <v>445</v>
      </c>
    </row>
    <row r="4" spans="1:12" ht="71.400000000000006" customHeight="1" x14ac:dyDescent="0.3">
      <c r="A4" s="85">
        <v>1</v>
      </c>
      <c r="B4" s="86" t="s">
        <v>357</v>
      </c>
      <c r="C4" s="86" t="s">
        <v>446</v>
      </c>
      <c r="D4" s="86" t="s">
        <v>447</v>
      </c>
      <c r="E4" s="86" t="s">
        <v>448</v>
      </c>
    </row>
    <row r="5" spans="1:12" ht="62.4" customHeight="1" x14ac:dyDescent="0.3">
      <c r="A5" s="85">
        <v>2</v>
      </c>
      <c r="B5" s="86" t="s">
        <v>357</v>
      </c>
      <c r="C5" s="86" t="s">
        <v>449</v>
      </c>
      <c r="D5" s="86" t="s">
        <v>450</v>
      </c>
      <c r="E5" s="86" t="s">
        <v>451</v>
      </c>
      <c r="I5" s="156" t="s">
        <v>493</v>
      </c>
      <c r="J5" s="156"/>
      <c r="K5" s="156"/>
      <c r="L5" s="156"/>
    </row>
    <row r="6" spans="1:12" ht="73.2" customHeight="1" x14ac:dyDescent="0.3">
      <c r="A6" s="85">
        <v>3</v>
      </c>
      <c r="B6" s="86" t="s">
        <v>357</v>
      </c>
      <c r="C6" s="86" t="s">
        <v>452</v>
      </c>
      <c r="D6" s="86" t="s">
        <v>453</v>
      </c>
      <c r="E6" s="86" t="s">
        <v>454</v>
      </c>
      <c r="I6" s="156"/>
      <c r="J6" s="156"/>
      <c r="K6" s="156"/>
      <c r="L6" s="156"/>
    </row>
    <row r="7" spans="1:12" ht="70.8" customHeight="1" x14ac:dyDescent="0.3">
      <c r="A7" s="85">
        <v>4</v>
      </c>
      <c r="B7" s="86" t="s">
        <v>357</v>
      </c>
      <c r="C7" s="86" t="s">
        <v>455</v>
      </c>
      <c r="D7" s="86" t="s">
        <v>456</v>
      </c>
      <c r="E7" s="86" t="s">
        <v>457</v>
      </c>
      <c r="I7" s="156"/>
      <c r="J7" s="156"/>
      <c r="K7" s="156"/>
      <c r="L7" s="156"/>
    </row>
    <row r="8" spans="1:12" ht="87" customHeight="1" x14ac:dyDescent="0.3">
      <c r="A8" s="85">
        <v>5</v>
      </c>
      <c r="B8" s="86" t="s">
        <v>357</v>
      </c>
      <c r="C8" s="86" t="s">
        <v>458</v>
      </c>
      <c r="D8" s="86" t="s">
        <v>459</v>
      </c>
      <c r="E8" s="86" t="s">
        <v>460</v>
      </c>
    </row>
    <row r="9" spans="1:12" ht="93.6" customHeight="1" x14ac:dyDescent="0.3">
      <c r="A9" s="85">
        <v>6</v>
      </c>
      <c r="B9" s="86" t="s">
        <v>357</v>
      </c>
      <c r="C9" s="86" t="s">
        <v>461</v>
      </c>
      <c r="D9" s="86" t="s">
        <v>462</v>
      </c>
      <c r="E9" s="86" t="s">
        <v>463</v>
      </c>
    </row>
    <row r="10" spans="1:12" ht="92.4" customHeight="1" x14ac:dyDescent="0.3">
      <c r="A10" s="85">
        <v>7</v>
      </c>
      <c r="B10" s="86" t="s">
        <v>358</v>
      </c>
      <c r="C10" s="86" t="s">
        <v>464</v>
      </c>
      <c r="D10" s="86" t="s">
        <v>465</v>
      </c>
      <c r="E10" s="86" t="s">
        <v>466</v>
      </c>
    </row>
    <row r="11" spans="1:12" ht="81.599999999999994" customHeight="1" x14ac:dyDescent="0.3">
      <c r="A11" s="85">
        <v>8</v>
      </c>
      <c r="B11" s="86" t="s">
        <v>358</v>
      </c>
      <c r="C11" s="86" t="s">
        <v>467</v>
      </c>
      <c r="D11" s="86" t="s">
        <v>468</v>
      </c>
      <c r="E11" s="86" t="s">
        <v>469</v>
      </c>
    </row>
    <row r="12" spans="1:12" ht="90.6" customHeight="1" x14ac:dyDescent="0.3">
      <c r="A12" s="85">
        <v>9</v>
      </c>
      <c r="B12" s="86" t="s">
        <v>358</v>
      </c>
      <c r="C12" s="86" t="s">
        <v>446</v>
      </c>
      <c r="D12" s="86" t="s">
        <v>470</v>
      </c>
      <c r="E12" s="86" t="s">
        <v>471</v>
      </c>
    </row>
    <row r="13" spans="1:12" ht="76.8" customHeight="1" x14ac:dyDescent="0.3">
      <c r="A13" s="85">
        <v>10</v>
      </c>
      <c r="B13" s="86" t="s">
        <v>358</v>
      </c>
      <c r="C13" s="86" t="s">
        <v>461</v>
      </c>
      <c r="D13" s="86" t="s">
        <v>472</v>
      </c>
      <c r="E13" s="86" t="s">
        <v>473</v>
      </c>
    </row>
    <row r="14" spans="1:12" ht="87" customHeight="1" x14ac:dyDescent="0.3">
      <c r="A14" s="85">
        <v>11</v>
      </c>
      <c r="B14" s="86" t="s">
        <v>358</v>
      </c>
      <c r="C14" s="86" t="s">
        <v>474</v>
      </c>
      <c r="D14" s="86" t="s">
        <v>475</v>
      </c>
      <c r="E14" s="86" t="s">
        <v>476</v>
      </c>
    </row>
    <row r="15" spans="1:12" ht="70.8" customHeight="1" x14ac:dyDescent="0.3">
      <c r="A15" s="85">
        <v>12</v>
      </c>
      <c r="B15" s="86" t="s">
        <v>359</v>
      </c>
      <c r="C15" s="86" t="s">
        <v>477</v>
      </c>
      <c r="D15" s="87" t="s">
        <v>478</v>
      </c>
      <c r="E15" s="86" t="s">
        <v>479</v>
      </c>
    </row>
    <row r="16" spans="1:12" ht="97.2" customHeight="1" x14ac:dyDescent="0.3">
      <c r="A16" s="85">
        <v>13</v>
      </c>
      <c r="B16" s="86" t="s">
        <v>359</v>
      </c>
      <c r="C16" s="86" t="s">
        <v>446</v>
      </c>
      <c r="D16" s="86" t="s">
        <v>480</v>
      </c>
      <c r="E16" s="86" t="s">
        <v>481</v>
      </c>
    </row>
    <row r="17" spans="1:5" ht="118.2" customHeight="1" x14ac:dyDescent="0.3">
      <c r="A17" s="85">
        <v>14</v>
      </c>
      <c r="B17" s="86" t="s">
        <v>359</v>
      </c>
      <c r="C17" s="86" t="s">
        <v>482</v>
      </c>
      <c r="D17" s="86" t="s">
        <v>483</v>
      </c>
      <c r="E17" s="86" t="s">
        <v>484</v>
      </c>
    </row>
    <row r="18" spans="1:5" ht="113.4" customHeight="1" x14ac:dyDescent="0.3">
      <c r="A18" s="85">
        <v>15</v>
      </c>
      <c r="B18" s="86" t="s">
        <v>359</v>
      </c>
      <c r="C18" s="86" t="s">
        <v>485</v>
      </c>
      <c r="D18" s="86" t="s">
        <v>486</v>
      </c>
      <c r="E18" s="86" t="s">
        <v>487</v>
      </c>
    </row>
    <row r="19" spans="1:5" ht="92.4" customHeight="1" x14ac:dyDescent="0.3">
      <c r="A19" s="85">
        <v>16</v>
      </c>
      <c r="B19" s="86" t="s">
        <v>359</v>
      </c>
      <c r="C19" s="86" t="s">
        <v>488</v>
      </c>
      <c r="D19" s="86" t="s">
        <v>489</v>
      </c>
      <c r="E19" s="86" t="s">
        <v>490</v>
      </c>
    </row>
  </sheetData>
  <mergeCells count="2">
    <mergeCell ref="A1:F1"/>
    <mergeCell ref="I5:L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A357-77CA-47AF-9EE7-949137DA2E47}">
  <dimension ref="A2:H14"/>
  <sheetViews>
    <sheetView showGridLines="0" zoomScale="85" zoomScaleNormal="85" workbookViewId="0">
      <selection activeCell="H14" sqref="H14"/>
    </sheetView>
  </sheetViews>
  <sheetFormatPr defaultRowHeight="14.4" x14ac:dyDescent="0.3"/>
  <cols>
    <col min="1" max="1" width="10.5546875" customWidth="1"/>
    <col min="3" max="3" width="10.44140625" customWidth="1"/>
    <col min="7" max="7" width="10.88671875" customWidth="1"/>
    <col min="8" max="8" width="46" customWidth="1"/>
  </cols>
  <sheetData>
    <row r="2" spans="1:8" ht="66" x14ac:dyDescent="0.3">
      <c r="A2" s="96" t="s">
        <v>443</v>
      </c>
      <c r="B2" s="96" t="s">
        <v>507</v>
      </c>
      <c r="C2" s="96" t="s">
        <v>508</v>
      </c>
      <c r="D2" s="96" t="s">
        <v>88</v>
      </c>
      <c r="E2" s="96" t="s">
        <v>89</v>
      </c>
      <c r="F2" s="96" t="s">
        <v>509</v>
      </c>
      <c r="G2" s="96" t="s">
        <v>362</v>
      </c>
      <c r="H2" s="96" t="s">
        <v>510</v>
      </c>
    </row>
    <row r="3" spans="1:8" ht="129.6" x14ac:dyDescent="0.3">
      <c r="A3" s="97" t="s">
        <v>446</v>
      </c>
      <c r="B3" s="98">
        <v>12</v>
      </c>
      <c r="C3" s="98">
        <v>20.170000000000002</v>
      </c>
      <c r="D3" s="98">
        <v>23</v>
      </c>
      <c r="E3" s="98">
        <v>28.4</v>
      </c>
      <c r="F3" s="98" t="s">
        <v>511</v>
      </c>
      <c r="G3" s="99" t="s">
        <v>512</v>
      </c>
      <c r="H3" s="102" t="s">
        <v>513</v>
      </c>
    </row>
    <row r="4" spans="1:8" ht="115.2" x14ac:dyDescent="0.3">
      <c r="A4" s="97" t="s">
        <v>467</v>
      </c>
      <c r="B4" s="98">
        <v>4</v>
      </c>
      <c r="C4" s="98" t="s">
        <v>536</v>
      </c>
      <c r="D4" s="98">
        <v>7</v>
      </c>
      <c r="E4" s="98">
        <v>10</v>
      </c>
      <c r="F4" s="98">
        <v>15</v>
      </c>
      <c r="G4" s="99" t="s">
        <v>514</v>
      </c>
      <c r="H4" s="102" t="s">
        <v>515</v>
      </c>
    </row>
    <row r="5" spans="1:8" ht="57.6" x14ac:dyDescent="0.3">
      <c r="A5" s="97" t="s">
        <v>516</v>
      </c>
      <c r="B5" s="98">
        <v>1</v>
      </c>
      <c r="C5" s="98">
        <v>1.5</v>
      </c>
      <c r="D5" s="98">
        <v>2</v>
      </c>
      <c r="E5" s="98">
        <v>3</v>
      </c>
      <c r="F5" s="98">
        <v>4</v>
      </c>
      <c r="G5" s="99" t="s">
        <v>517</v>
      </c>
      <c r="H5" s="102" t="s">
        <v>518</v>
      </c>
    </row>
    <row r="6" spans="1:8" ht="115.2" x14ac:dyDescent="0.3">
      <c r="A6" s="97" t="s">
        <v>519</v>
      </c>
      <c r="B6" s="98">
        <v>3.2</v>
      </c>
      <c r="C6" s="98">
        <v>3.2</v>
      </c>
      <c r="D6" s="98">
        <v>3.2</v>
      </c>
      <c r="E6" s="98">
        <v>3.2</v>
      </c>
      <c r="F6" s="98">
        <v>4.4000000000000004</v>
      </c>
      <c r="G6" s="99" t="s">
        <v>520</v>
      </c>
      <c r="H6" s="102" t="s">
        <v>521</v>
      </c>
    </row>
    <row r="7" spans="1:8" ht="136.80000000000001" customHeight="1" x14ac:dyDescent="0.3">
      <c r="A7" s="97" t="s">
        <v>522</v>
      </c>
      <c r="B7" s="98">
        <v>3.5</v>
      </c>
      <c r="C7" s="98">
        <v>4.5</v>
      </c>
      <c r="D7" s="98">
        <v>9.5</v>
      </c>
      <c r="E7" s="98">
        <v>15.5</v>
      </c>
      <c r="F7" s="98">
        <v>17.5</v>
      </c>
      <c r="G7" s="99" t="s">
        <v>523</v>
      </c>
      <c r="H7" s="102" t="s">
        <v>547</v>
      </c>
    </row>
    <row r="8" spans="1:8" ht="129.6" x14ac:dyDescent="0.3">
      <c r="A8" s="97" t="s">
        <v>452</v>
      </c>
      <c r="B8" s="98">
        <v>3</v>
      </c>
      <c r="C8" s="98" t="s">
        <v>250</v>
      </c>
      <c r="D8" s="98">
        <v>14.7</v>
      </c>
      <c r="E8" s="98" t="s">
        <v>537</v>
      </c>
      <c r="F8" s="98" t="s">
        <v>538</v>
      </c>
      <c r="G8" s="99" t="s">
        <v>524</v>
      </c>
      <c r="H8" s="102" t="s">
        <v>548</v>
      </c>
    </row>
    <row r="9" spans="1:8" ht="115.2" x14ac:dyDescent="0.3">
      <c r="A9" s="97" t="s">
        <v>525</v>
      </c>
      <c r="B9" s="98">
        <v>1.5</v>
      </c>
      <c r="C9" s="98">
        <v>5.4</v>
      </c>
      <c r="D9" s="98">
        <v>11.1</v>
      </c>
      <c r="E9" s="98" t="s">
        <v>539</v>
      </c>
      <c r="F9" s="98" t="s">
        <v>540</v>
      </c>
      <c r="G9" s="99" t="s">
        <v>526</v>
      </c>
      <c r="H9" s="102" t="s">
        <v>549</v>
      </c>
    </row>
    <row r="10" spans="1:8" ht="145.80000000000001" customHeight="1" x14ac:dyDescent="0.3">
      <c r="A10" s="97" t="s">
        <v>527</v>
      </c>
      <c r="B10" s="98">
        <v>0</v>
      </c>
      <c r="C10" s="98">
        <v>0.2</v>
      </c>
      <c r="D10" s="101">
        <v>46054</v>
      </c>
      <c r="E10" s="98">
        <v>5</v>
      </c>
      <c r="F10" s="98">
        <v>10</v>
      </c>
      <c r="G10" s="99" t="s">
        <v>528</v>
      </c>
      <c r="H10" s="102" t="s">
        <v>550</v>
      </c>
    </row>
    <row r="11" spans="1:8" ht="43.2" x14ac:dyDescent="0.3">
      <c r="A11" s="97" t="s">
        <v>455</v>
      </c>
      <c r="B11" s="98">
        <v>1</v>
      </c>
      <c r="C11" s="98">
        <v>2</v>
      </c>
      <c r="D11" s="98">
        <v>3</v>
      </c>
      <c r="E11" s="98">
        <v>4</v>
      </c>
      <c r="F11" s="98">
        <v>5</v>
      </c>
      <c r="G11" s="99" t="s">
        <v>529</v>
      </c>
      <c r="H11" s="102" t="s">
        <v>551</v>
      </c>
    </row>
    <row r="12" spans="1:8" ht="43.2" x14ac:dyDescent="0.3">
      <c r="A12" s="97" t="s">
        <v>530</v>
      </c>
      <c r="B12" s="98">
        <v>0.1</v>
      </c>
      <c r="C12" s="98">
        <v>0.5</v>
      </c>
      <c r="D12" s="98">
        <v>0.5</v>
      </c>
      <c r="E12" s="98">
        <v>1</v>
      </c>
      <c r="F12" s="98">
        <v>1.5</v>
      </c>
      <c r="G12" s="99" t="s">
        <v>531</v>
      </c>
      <c r="H12" s="102" t="s">
        <v>532</v>
      </c>
    </row>
    <row r="13" spans="1:8" ht="105.6" customHeight="1" x14ac:dyDescent="0.3">
      <c r="A13" s="97" t="s">
        <v>533</v>
      </c>
      <c r="B13" s="98">
        <v>15</v>
      </c>
      <c r="C13" s="98">
        <v>65</v>
      </c>
      <c r="D13" s="98">
        <v>80</v>
      </c>
      <c r="E13" s="98">
        <v>90</v>
      </c>
      <c r="F13" s="98">
        <v>100</v>
      </c>
      <c r="G13" s="99" t="s">
        <v>534</v>
      </c>
      <c r="H13" s="102" t="s">
        <v>535</v>
      </c>
    </row>
    <row r="14" spans="1:8" ht="79.2" x14ac:dyDescent="0.3">
      <c r="A14" s="103" t="s">
        <v>541</v>
      </c>
      <c r="B14" s="104" t="s">
        <v>542</v>
      </c>
      <c r="C14" s="104" t="s">
        <v>543</v>
      </c>
      <c r="D14" s="104" t="s">
        <v>544</v>
      </c>
      <c r="E14" s="104" t="s">
        <v>545</v>
      </c>
      <c r="F14" s="104" t="s">
        <v>71</v>
      </c>
      <c r="G14" s="103" t="s">
        <v>546</v>
      </c>
      <c r="H14" s="103" t="s">
        <v>552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A565-B9CB-489E-9F54-F06389CB88B4}">
  <dimension ref="A1:H15"/>
  <sheetViews>
    <sheetView topLeftCell="A8" workbookViewId="0">
      <selection activeCell="F4" sqref="F4"/>
    </sheetView>
  </sheetViews>
  <sheetFormatPr defaultRowHeight="14.4" x14ac:dyDescent="0.3"/>
  <cols>
    <col min="1" max="1" width="12.88671875" customWidth="1"/>
    <col min="6" max="6" width="14.88671875" customWidth="1"/>
    <col min="7" max="7" width="12.5546875" bestFit="1" customWidth="1"/>
    <col min="8" max="8" width="40.33203125" customWidth="1"/>
  </cols>
  <sheetData>
    <row r="1" spans="1:8" ht="66" x14ac:dyDescent="0.3">
      <c r="A1" s="105" t="s">
        <v>443</v>
      </c>
      <c r="B1" s="105" t="s">
        <v>28</v>
      </c>
      <c r="C1" s="105" t="s">
        <v>29</v>
      </c>
      <c r="D1" s="105" t="s">
        <v>88</v>
      </c>
      <c r="E1" s="105" t="s">
        <v>89</v>
      </c>
      <c r="F1" s="105" t="s">
        <v>553</v>
      </c>
      <c r="G1" s="105" t="s">
        <v>554</v>
      </c>
      <c r="H1" s="105" t="s">
        <v>510</v>
      </c>
    </row>
    <row r="2" spans="1:8" ht="61.2" x14ac:dyDescent="0.3">
      <c r="A2" s="97" t="s">
        <v>446</v>
      </c>
      <c r="B2" s="98">
        <v>0</v>
      </c>
      <c r="C2" s="98">
        <v>5.4</v>
      </c>
      <c r="D2" s="98" t="s">
        <v>594</v>
      </c>
      <c r="E2" s="98">
        <v>15.4</v>
      </c>
      <c r="F2" s="99" t="s">
        <v>555</v>
      </c>
      <c r="G2" s="99" t="s">
        <v>556</v>
      </c>
      <c r="H2" s="100" t="s">
        <v>557</v>
      </c>
    </row>
    <row r="3" spans="1:8" ht="71.400000000000006" x14ac:dyDescent="0.3">
      <c r="A3" s="97" t="s">
        <v>467</v>
      </c>
      <c r="B3" s="98">
        <v>2</v>
      </c>
      <c r="C3" s="98">
        <v>4</v>
      </c>
      <c r="D3" s="101">
        <v>46146</v>
      </c>
      <c r="E3" s="98">
        <v>6</v>
      </c>
      <c r="F3" s="99" t="s">
        <v>595</v>
      </c>
      <c r="G3" s="99" t="s">
        <v>558</v>
      </c>
      <c r="H3" s="100" t="s">
        <v>559</v>
      </c>
    </row>
    <row r="4" spans="1:8" ht="71.400000000000006" x14ac:dyDescent="0.3">
      <c r="A4" s="97" t="s">
        <v>525</v>
      </c>
      <c r="B4" s="98">
        <v>1</v>
      </c>
      <c r="C4" s="98">
        <v>2</v>
      </c>
      <c r="D4" s="98">
        <v>3.6</v>
      </c>
      <c r="E4" s="98">
        <v>10.6</v>
      </c>
      <c r="F4" s="99" t="s">
        <v>560</v>
      </c>
      <c r="G4" s="99" t="s">
        <v>561</v>
      </c>
      <c r="H4" s="100" t="s">
        <v>562</v>
      </c>
    </row>
    <row r="5" spans="1:8" ht="51" x14ac:dyDescent="0.3">
      <c r="A5" s="97" t="s">
        <v>519</v>
      </c>
      <c r="B5" s="98">
        <v>3.2</v>
      </c>
      <c r="C5" s="98">
        <v>3.2</v>
      </c>
      <c r="D5" s="98">
        <v>3.2</v>
      </c>
      <c r="E5" s="98">
        <v>3.2</v>
      </c>
      <c r="F5" s="99" t="s">
        <v>563</v>
      </c>
      <c r="G5" s="99" t="s">
        <v>564</v>
      </c>
      <c r="H5" s="100" t="s">
        <v>565</v>
      </c>
    </row>
    <row r="6" spans="1:8" ht="71.400000000000006" x14ac:dyDescent="0.3">
      <c r="A6" s="97" t="s">
        <v>461</v>
      </c>
      <c r="B6" s="98">
        <v>0</v>
      </c>
      <c r="C6" s="98">
        <v>0.1</v>
      </c>
      <c r="D6" s="98" t="s">
        <v>597</v>
      </c>
      <c r="E6" s="98" t="s">
        <v>596</v>
      </c>
      <c r="F6" s="99" t="s">
        <v>566</v>
      </c>
      <c r="G6" s="99" t="s">
        <v>599</v>
      </c>
      <c r="H6" s="100" t="s">
        <v>567</v>
      </c>
    </row>
    <row r="7" spans="1:8" ht="61.2" x14ac:dyDescent="0.3">
      <c r="A7" s="97" t="s">
        <v>568</v>
      </c>
      <c r="B7" s="98">
        <v>0.2</v>
      </c>
      <c r="C7" s="98">
        <v>0.3</v>
      </c>
      <c r="D7" s="98">
        <v>5</v>
      </c>
      <c r="E7" s="98">
        <v>6</v>
      </c>
      <c r="F7" s="99" t="s">
        <v>569</v>
      </c>
      <c r="G7" s="99" t="s">
        <v>598</v>
      </c>
      <c r="H7" s="100" t="s">
        <v>570</v>
      </c>
    </row>
    <row r="8" spans="1:8" ht="51" x14ac:dyDescent="0.3">
      <c r="A8" s="97" t="s">
        <v>571</v>
      </c>
      <c r="B8" s="98">
        <v>0</v>
      </c>
      <c r="C8" s="98">
        <v>0</v>
      </c>
      <c r="D8" s="98">
        <v>1.6</v>
      </c>
      <c r="E8" s="98">
        <v>2.5</v>
      </c>
      <c r="F8" s="99" t="s">
        <v>572</v>
      </c>
      <c r="G8" s="99" t="s">
        <v>600</v>
      </c>
      <c r="H8" s="100" t="s">
        <v>573</v>
      </c>
    </row>
    <row r="9" spans="1:8" ht="34.200000000000003" x14ac:dyDescent="0.3">
      <c r="A9" s="97" t="s">
        <v>574</v>
      </c>
      <c r="B9" s="98">
        <v>0</v>
      </c>
      <c r="C9" s="98">
        <v>0</v>
      </c>
      <c r="D9" s="98">
        <v>1.8</v>
      </c>
      <c r="E9" s="98">
        <v>2.5</v>
      </c>
      <c r="F9" s="99" t="s">
        <v>575</v>
      </c>
      <c r="G9" s="99" t="s">
        <v>601</v>
      </c>
      <c r="H9" s="100" t="s">
        <v>576</v>
      </c>
    </row>
    <row r="10" spans="1:8" ht="34.200000000000003" x14ac:dyDescent="0.3">
      <c r="A10" s="97" t="s">
        <v>577</v>
      </c>
      <c r="B10" s="98">
        <v>0</v>
      </c>
      <c r="C10" s="98">
        <v>0</v>
      </c>
      <c r="D10" s="98">
        <v>0.8</v>
      </c>
      <c r="E10" s="98">
        <v>1.2</v>
      </c>
      <c r="F10" s="99" t="s">
        <v>575</v>
      </c>
      <c r="G10" s="99" t="s">
        <v>602</v>
      </c>
      <c r="H10" s="100" t="s">
        <v>578</v>
      </c>
    </row>
    <row r="11" spans="1:8" ht="40.799999999999997" x14ac:dyDescent="0.3">
      <c r="A11" s="97" t="s">
        <v>579</v>
      </c>
      <c r="B11" s="98">
        <v>0</v>
      </c>
      <c r="C11" s="98">
        <v>0</v>
      </c>
      <c r="D11" s="98" t="s">
        <v>606</v>
      </c>
      <c r="E11" s="98">
        <v>1.5</v>
      </c>
      <c r="F11" s="99" t="s">
        <v>575</v>
      </c>
      <c r="G11" s="99" t="s">
        <v>603</v>
      </c>
      <c r="H11" s="100" t="s">
        <v>580</v>
      </c>
    </row>
    <row r="12" spans="1:8" ht="40.799999999999997" x14ac:dyDescent="0.3">
      <c r="A12" s="97" t="s">
        <v>581</v>
      </c>
      <c r="B12" s="98">
        <v>0</v>
      </c>
      <c r="C12" s="98">
        <v>0</v>
      </c>
      <c r="D12" s="98">
        <v>1.1000000000000001</v>
      </c>
      <c r="E12" s="98">
        <v>1.5</v>
      </c>
      <c r="F12" s="99" t="s">
        <v>575</v>
      </c>
      <c r="G12" s="99" t="s">
        <v>604</v>
      </c>
      <c r="H12" s="100" t="s">
        <v>582</v>
      </c>
    </row>
    <row r="13" spans="1:8" ht="51" x14ac:dyDescent="0.3">
      <c r="A13" s="97" t="s">
        <v>583</v>
      </c>
      <c r="B13" s="98">
        <v>0</v>
      </c>
      <c r="C13" s="98">
        <v>0</v>
      </c>
      <c r="D13" s="98">
        <v>1.2</v>
      </c>
      <c r="E13" s="98">
        <v>5</v>
      </c>
      <c r="F13" s="99" t="s">
        <v>584</v>
      </c>
      <c r="G13" s="99" t="s">
        <v>605</v>
      </c>
      <c r="H13" s="100" t="s">
        <v>585</v>
      </c>
    </row>
    <row r="14" spans="1:8" ht="40.799999999999997" x14ac:dyDescent="0.3">
      <c r="A14" s="97" t="s">
        <v>488</v>
      </c>
      <c r="B14" s="98">
        <v>0.5</v>
      </c>
      <c r="C14" s="98">
        <v>1</v>
      </c>
      <c r="D14" s="98">
        <v>2</v>
      </c>
      <c r="E14" s="98">
        <v>4</v>
      </c>
      <c r="F14" s="99" t="s">
        <v>534</v>
      </c>
      <c r="G14" s="99" t="s">
        <v>586</v>
      </c>
      <c r="H14" s="100" t="s">
        <v>587</v>
      </c>
    </row>
    <row r="15" spans="1:8" ht="105.6" x14ac:dyDescent="0.3">
      <c r="A15" s="106" t="s">
        <v>588</v>
      </c>
      <c r="B15" s="105" t="s">
        <v>589</v>
      </c>
      <c r="C15" s="105" t="s">
        <v>590</v>
      </c>
      <c r="D15" s="105" t="s">
        <v>591</v>
      </c>
      <c r="E15" s="105" t="s">
        <v>607</v>
      </c>
      <c r="F15" s="105" t="s">
        <v>546</v>
      </c>
      <c r="G15" s="106" t="s">
        <v>592</v>
      </c>
      <c r="H15" s="106" t="s">
        <v>593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B4C6-6C60-4CE6-83D3-6F25BA35B6C7}">
  <dimension ref="A1:G9"/>
  <sheetViews>
    <sheetView tabSelected="1" workbookViewId="0">
      <selection activeCell="H7" sqref="H7"/>
    </sheetView>
  </sheetViews>
  <sheetFormatPr defaultRowHeight="14.4" x14ac:dyDescent="0.3"/>
  <cols>
    <col min="1" max="1" width="15.88671875" customWidth="1"/>
    <col min="2" max="2" width="19.109375" customWidth="1"/>
    <col min="3" max="3" width="19.33203125" customWidth="1"/>
    <col min="4" max="4" width="12.88671875" customWidth="1"/>
    <col min="5" max="5" width="13.33203125" customWidth="1"/>
    <col min="7" max="7" width="14" customWidth="1"/>
  </cols>
  <sheetData>
    <row r="1" spans="1:7" ht="66" x14ac:dyDescent="0.3">
      <c r="A1" s="107" t="s">
        <v>443</v>
      </c>
      <c r="B1" s="107" t="s">
        <v>608</v>
      </c>
      <c r="C1" s="107" t="s">
        <v>609</v>
      </c>
      <c r="D1" s="107" t="s">
        <v>610</v>
      </c>
      <c r="E1" s="107" t="s">
        <v>611</v>
      </c>
      <c r="F1" s="107" t="s">
        <v>612</v>
      </c>
      <c r="G1" s="107" t="s">
        <v>553</v>
      </c>
    </row>
    <row r="2" spans="1:7" ht="34.200000000000003" x14ac:dyDescent="0.3">
      <c r="A2" s="97" t="s">
        <v>613</v>
      </c>
      <c r="B2" s="98" t="s">
        <v>614</v>
      </c>
      <c r="C2" s="98" t="s">
        <v>653</v>
      </c>
      <c r="D2" s="98" t="s">
        <v>662</v>
      </c>
      <c r="E2" s="98" t="s">
        <v>615</v>
      </c>
      <c r="F2" s="98" t="s">
        <v>616</v>
      </c>
      <c r="G2" s="99" t="s">
        <v>617</v>
      </c>
    </row>
    <row r="3" spans="1:7" ht="34.200000000000003" x14ac:dyDescent="0.3">
      <c r="A3" s="97" t="s">
        <v>618</v>
      </c>
      <c r="B3" s="98" t="s">
        <v>619</v>
      </c>
      <c r="C3" s="98" t="s">
        <v>654</v>
      </c>
      <c r="D3" s="98" t="s">
        <v>662</v>
      </c>
      <c r="E3" s="98" t="s">
        <v>620</v>
      </c>
      <c r="F3" s="98" t="s">
        <v>621</v>
      </c>
      <c r="G3" s="99" t="s">
        <v>622</v>
      </c>
    </row>
    <row r="4" spans="1:7" ht="57" x14ac:dyDescent="0.3">
      <c r="A4" s="97" t="s">
        <v>623</v>
      </c>
      <c r="B4" s="98" t="s">
        <v>624</v>
      </c>
      <c r="C4" s="98" t="s">
        <v>655</v>
      </c>
      <c r="D4" s="98" t="s">
        <v>661</v>
      </c>
      <c r="E4" s="98" t="s">
        <v>663</v>
      </c>
      <c r="F4" s="98" t="s">
        <v>625</v>
      </c>
      <c r="G4" s="99" t="s">
        <v>626</v>
      </c>
    </row>
    <row r="5" spans="1:7" ht="34.200000000000003" x14ac:dyDescent="0.3">
      <c r="A5" s="97" t="s">
        <v>627</v>
      </c>
      <c r="B5" s="98" t="s">
        <v>628</v>
      </c>
      <c r="C5" s="98" t="s">
        <v>629</v>
      </c>
      <c r="D5" s="98" t="s">
        <v>660</v>
      </c>
      <c r="E5" s="98" t="s">
        <v>630</v>
      </c>
      <c r="F5" s="98" t="s">
        <v>631</v>
      </c>
      <c r="G5" s="99" t="s">
        <v>632</v>
      </c>
    </row>
    <row r="6" spans="1:7" ht="34.200000000000003" x14ac:dyDescent="0.3">
      <c r="A6" s="97" t="s">
        <v>633</v>
      </c>
      <c r="B6" s="98" t="s">
        <v>614</v>
      </c>
      <c r="C6" s="98" t="s">
        <v>656</v>
      </c>
      <c r="D6" s="98" t="s">
        <v>634</v>
      </c>
      <c r="E6" s="98" t="s">
        <v>635</v>
      </c>
      <c r="F6" s="98" t="s">
        <v>636</v>
      </c>
      <c r="G6" s="99" t="s">
        <v>637</v>
      </c>
    </row>
    <row r="7" spans="1:7" ht="34.200000000000003" x14ac:dyDescent="0.3">
      <c r="A7" s="97" t="s">
        <v>638</v>
      </c>
      <c r="B7" s="98" t="s">
        <v>614</v>
      </c>
      <c r="C7" s="98" t="s">
        <v>657</v>
      </c>
      <c r="D7" s="98" t="s">
        <v>659</v>
      </c>
      <c r="E7" s="98" t="s">
        <v>639</v>
      </c>
      <c r="F7" s="98" t="s">
        <v>640</v>
      </c>
      <c r="G7" s="99" t="s">
        <v>641</v>
      </c>
    </row>
    <row r="8" spans="1:7" ht="45.6" x14ac:dyDescent="0.3">
      <c r="A8" s="97" t="s">
        <v>642</v>
      </c>
      <c r="B8" s="98" t="s">
        <v>643</v>
      </c>
      <c r="C8" s="98" t="s">
        <v>644</v>
      </c>
      <c r="D8" s="98" t="s">
        <v>658</v>
      </c>
      <c r="E8" s="98" t="s">
        <v>645</v>
      </c>
      <c r="F8" s="98" t="s">
        <v>646</v>
      </c>
      <c r="G8" s="99" t="s">
        <v>647</v>
      </c>
    </row>
    <row r="9" spans="1:7" ht="34.200000000000003" x14ac:dyDescent="0.3">
      <c r="A9" s="97" t="s">
        <v>648</v>
      </c>
      <c r="B9" s="98" t="s">
        <v>643</v>
      </c>
      <c r="C9" s="98" t="s">
        <v>649</v>
      </c>
      <c r="D9" s="98" t="s">
        <v>650</v>
      </c>
      <c r="E9" s="98" t="s">
        <v>651</v>
      </c>
      <c r="F9" s="98" t="s">
        <v>652</v>
      </c>
      <c r="G9" s="99"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Capacity</vt:lpstr>
      <vt:lpstr>Demand Analysis</vt:lpstr>
      <vt:lpstr>Supply vs Demand</vt:lpstr>
      <vt:lpstr>China vs domestic </vt:lpstr>
      <vt:lpstr>Govt schemes </vt:lpstr>
      <vt:lpstr>AlMM List</vt:lpstr>
      <vt:lpstr>Big players -Module capacity</vt:lpstr>
      <vt:lpstr>Big player -cell production</vt:lpstr>
      <vt:lpstr>global big player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aldarsandesh@outlook.com</dc:creator>
  <cp:lastModifiedBy>aldarsandesh@outlook.com</cp:lastModifiedBy>
  <dcterms:created xsi:type="dcterms:W3CDTF">2026-06-04T06:12:38Z</dcterms:created>
  <dcterms:modified xsi:type="dcterms:W3CDTF">2026-06-10T11:26:57Z</dcterms:modified>
</cp:coreProperties>
</file>